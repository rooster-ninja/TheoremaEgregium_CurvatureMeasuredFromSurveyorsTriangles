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Result" sheetId="2" state="visible" r:id="rId4"/>
    <sheet name="Triangles" sheetId="3" state="visible" r:id="rId5"/>
    <sheet name="Chain_sums" sheetId="4" state="visible" r:id="rId6"/>
    <sheet name="Source_check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From printed side lengths (Heron, or one side + observed angles) for tiers A/B; from WGS84 coordinates for tier C. Source: arcs_parallel_master.kml; computed in scripts/fit2.py.</t>
        </r>
      </text>
    </comment>
    <comment ref="E1" authorId="0">
      <text>
        <r>
          <rPr>
            <sz val="10"/>
            <rFont val="Arial"/>
            <family val="2"/>
          </rPr>
          <t xml:space="preserve">Sum of the three observed angles minus 180°, from the printed tables as transcribed in the KML. Three entries corrected from Schott misprints (see Source_check).</t>
        </r>
      </text>
    </comment>
    <comment ref="G1" authorId="0">
      <text>
        <r>
          <rPr>
            <sz val="10"/>
            <rFont val="Arial"/>
            <family val="2"/>
          </rPr>
          <t xml:space="preserve">1.4826 × median absolute deviation of each survey's residuals from its own one-parameter fit (RULE.md).</t>
        </r>
      </text>
    </comment>
  </commentList>
</comments>
</file>

<file path=xl/sharedStrings.xml><?xml version="1.0" encoding="utf-8"?>
<sst xmlns="http://schemas.openxmlformats.org/spreadsheetml/2006/main" count="4074" uniqueCount="1119">
  <si>
    <t xml:space="preserve">Curvature measured from surveyors' triangles · workbook</t>
  </si>
  <si>
    <t xml:space="preserve">Blue = input you can change · black = formula · green = link to another sheet. Change the SNR cut or tier weights and the Result sheet recalculates.</t>
  </si>
  <si>
    <t xml:space="preserve">R0, fixed scale radius for SNR (m)</t>
  </si>
  <si>
    <t xml:space="preserve">Fixed before the run; not a fit (RULE.md)</t>
  </si>
  <si>
    <t xml:space="preserve">Arc-seconds per radian</t>
  </si>
  <si>
    <t xml:space="preserve">360·3600/(2π)</t>
  </si>
  <si>
    <t xml:space="preserve">SNR cut (keep triangles with SNR ≥ cut)</t>
  </si>
  <si>
    <t xml:space="preserve">Declared rule: 2. Try 0, 1 or 3 (section 4 sensitivity)</t>
  </si>
  <si>
    <t xml:space="preserve">Tier A weight</t>
  </si>
  <si>
    <t xml:space="preserve">Observed angles + 3 printed sides</t>
  </si>
  <si>
    <t xml:space="preserve">Tier B weight</t>
  </si>
  <si>
    <t xml:space="preserve">Observed angles + 1–2 printed sides</t>
  </si>
  <si>
    <t xml:space="preserve">Tier C weight</t>
  </si>
  <si>
    <t xml:space="preserve">Observed angles, coordinate area only</t>
  </si>
  <si>
    <t xml:space="preserve">Main result · recalculates from the Triangles sheet and the Inputs</t>
  </si>
  <si>
    <t xml:space="preserve">Expected with the declared inputs: 391 triangles, q = 0.9953 ± 0.0048, K = 2.4501 × 10⁻¹⁴ m⁻², R = 6,389 km (scripts/rule_fit.py).</t>
  </si>
  <si>
    <t xml:space="preserve">Triangles in the result</t>
  </si>
  <si>
    <t xml:space="preserve">Σ w·A·ε</t>
  </si>
  <si>
    <t xml:space="preserve">Σ w·A²</t>
  </si>
  <si>
    <t xml:space="preserve">K measured (″ per km²)</t>
  </si>
  <si>
    <t xml:space="preserve">K ellipsoid, same weights (″ per km²)</t>
  </si>
  <si>
    <t xml:space="preserve">Ratio q = K / K ellipsoid</t>
  </si>
  <si>
    <t xml:space="preserve">Main result</t>
  </si>
  <si>
    <t xml:space="preserve">Variance of K (sandwich)</t>
  </si>
  <si>
    <t xml:space="preserve">χ²/dof</t>
  </si>
  <si>
    <t xml:space="preserve">σ of K (″ per km²), inflated if χ²/dof &gt; 1</t>
  </si>
  <si>
    <t xml:space="preserve">σ of q</t>
  </si>
  <si>
    <t xml:space="preserve">z (q vs 1)</t>
  </si>
  <si>
    <t xml:space="preserve">K measured (m⁻², ×10⁻¹⁴)</t>
  </si>
  <si>
    <t xml:space="preserve">σ of K (m⁻², ×10⁻¹⁴)</t>
  </si>
  <si>
    <t xml:space="preserve">Radius 1/√K (km)</t>
  </si>
  <si>
    <t xml:space="preserve">By survey (unweighted within a survey, as in section 4)</t>
  </si>
  <si>
    <t xml:space="preserve">Survey</t>
  </si>
  <si>
    <t xml:space="preserve">Triangles</t>
  </si>
  <si>
    <t xml:space="preserve">K (″/km²)</t>
  </si>
  <si>
    <t xml:space="preserve">K ellipsoid (″/km²)</t>
  </si>
  <si>
    <t xml:space="preserve">q</t>
  </si>
  <si>
    <t xml:space="preserve">US 39th parallel</t>
  </si>
  <si>
    <t xml:space="preserve">US Eastern Oblique</t>
  </si>
  <si>
    <t xml:space="preserve">Maclear, Cape 1837–48</t>
  </si>
  <si>
    <t xml:space="preserve">Europe 52°N (Helmert)</t>
  </si>
  <si>
    <t xml:space="preserve">Transvaal–Rhodesia</t>
  </si>
  <si>
    <t xml:space="preserve">India GTS meridional</t>
  </si>
  <si>
    <t xml:space="preserve">England OS 1787–96</t>
  </si>
  <si>
    <t xml:space="preserve">σ of q per survey here is before χ² inflation; section 4 of the report applies it.</t>
  </si>
  <si>
    <t xml:space="preserve">Triangle</t>
  </si>
  <si>
    <t xml:space="preserve">Tier</t>
  </si>
  <si>
    <t xml:space="preserve">Area used (km²)</t>
  </si>
  <si>
    <t xml:space="preserve">Observed excess Σangles−180° (″)</t>
  </si>
  <si>
    <t xml:space="preserve">K ellipsoid 1/(MN) (″ per km²)</t>
  </si>
  <si>
    <t xml:space="preserve">Survey closure σ (″)</t>
  </si>
  <si>
    <t xml:space="preserve">Expected excess A·K (″)</t>
  </si>
  <si>
    <t xml:space="preserve">SNR</t>
  </si>
  <si>
    <t xml:space="preserve">Tier weight</t>
  </si>
  <si>
    <t xml:space="preserve">In result</t>
  </si>
  <si>
    <t xml:space="preserve">In chain sum</t>
  </si>
  <si>
    <t xml:space="preserve">Area from coordinates (km²)</t>
  </si>
  <si>
    <t xml:space="preserve">Printed excess (″)</t>
  </si>
  <si>
    <t xml:space="preserve">QC note</t>
  </si>
  <si>
    <t xml:space="preserve">Fit weight w = tier/σ² (if in result)</t>
  </si>
  <si>
    <t xml:space="preserve">Residual² (if in result)</t>
  </si>
  <si>
    <t xml:space="preserve">Anglo-French 1787</t>
  </si>
  <si>
    <t xml:space="preserve">Hanger Hill Tower - Hampton Poor-house - King's Arbour</t>
  </si>
  <si>
    <t xml:space="preserve">A</t>
  </si>
  <si>
    <t xml:space="preserve">ok</t>
  </si>
  <si>
    <t xml:space="preserve">St. Ann's Hill - Hampton Poor-house - King's Arbour</t>
  </si>
  <si>
    <t xml:space="preserve">B</t>
  </si>
  <si>
    <t xml:space="preserve">Windsor Castle, Wardrobe Tower - King's Arbour - St. Ann's Hill</t>
  </si>
  <si>
    <t xml:space="preserve">Hundred Acres - Hanger Hill Tower - St. Ann's Hill</t>
  </si>
  <si>
    <t xml:space="preserve">Severndroog Castle - Hanger Hill Tower - Hundred Acres</t>
  </si>
  <si>
    <t xml:space="preserve">Norwood - Hanger Hill Tower - Severndroog Castle</t>
  </si>
  <si>
    <t xml:space="preserve">Norwood - Hanger Hill Tower - Hundred Acres</t>
  </si>
  <si>
    <t xml:space="preserve">Greenwich Observatory, Transit Room - Severndroog Castle - Norwood</t>
  </si>
  <si>
    <t xml:space="preserve">Botley Hill - Hundred Acres - Severndroog Castle</t>
  </si>
  <si>
    <t xml:space="preserve">Wrotham Hill - Botley Hill - Severndroog Castle</t>
  </si>
  <si>
    <t xml:space="preserve">Frant - Botley Hill - Wrotham Hill</t>
  </si>
  <si>
    <t xml:space="preserve">Hollingborn Hill - Wrotham Hill - Frant</t>
  </si>
  <si>
    <t xml:space="preserve">Fairlight Down - Frant - Hollingborn Hill</t>
  </si>
  <si>
    <t xml:space="preserve">Goudhurst - Botley Hill - Wrotham Hill</t>
  </si>
  <si>
    <t xml:space="preserve">Goudhurst - Frant - Wrotham Hill</t>
  </si>
  <si>
    <t xml:space="preserve">Hollingborn Hill - Wrotham Hill - Goudhurst</t>
  </si>
  <si>
    <t xml:space="preserve">C</t>
  </si>
  <si>
    <t xml:space="preserve">Tenterden - Goudhurst - Hollingborn Hill</t>
  </si>
  <si>
    <t xml:space="preserve">Fairlight Down - Goudhurst - Tenterden</t>
  </si>
  <si>
    <t xml:space="preserve">Allington Knoll - Hollingborn Hill - Tenterden</t>
  </si>
  <si>
    <t xml:space="preserve">Lydd - Allington Knoll - Tenterden</t>
  </si>
  <si>
    <t xml:space="preserve">Fairlight Down - Lydd - Tenterden</t>
  </si>
  <si>
    <t xml:space="preserve">Allington Knoll - Lydd - Fairlight Down</t>
  </si>
  <si>
    <t xml:space="preserve">Lydd - Ruckinge - High Nook</t>
  </si>
  <si>
    <t xml:space="preserve">Allington Knoll - Ruckinge - High Nook</t>
  </si>
  <si>
    <t xml:space="preserve">Folkstone Turnpike - Allington Knoll - High Nook</t>
  </si>
  <si>
    <t xml:space="preserve">Folkstone Turnpike - Allington Knoll - Lydd</t>
  </si>
  <si>
    <t xml:space="preserve">Padlesworth - High Nook - Folkstone Turnpike</t>
  </si>
  <si>
    <t xml:space="preserve">Padlesworth - Lydd - Folkstone Turnpike</t>
  </si>
  <si>
    <t xml:space="preserve">Padlesworth - Lydd - Fairlight Down</t>
  </si>
  <si>
    <t xml:space="preserve">Swingfield - Padlesworth - Folkstone Turnpike</t>
  </si>
  <si>
    <t xml:space="preserve">Dover Castle - Swingfield - Folkstone Turnpike</t>
  </si>
  <si>
    <t xml:space="preserve">Dover Castle - Padlesworth - Fairlight Down</t>
  </si>
  <si>
    <t xml:space="preserve">Dover Castle - Fairlight Down - Montlambert</t>
  </si>
  <si>
    <t xml:space="preserve">Fairlight Down - Dover Castle - Blancnez</t>
  </si>
  <si>
    <t xml:space="preserve">Dover Castle - Montlambert - Blancnez</t>
  </si>
  <si>
    <t xml:space="preserve">N.D. at Calais - Blancnez - Dover Castle</t>
  </si>
  <si>
    <t xml:space="preserve">N.D. at Calais - Dover Castle - Point M near Dunkirk</t>
  </si>
  <si>
    <t xml:space="preserve">Blancnez - N.D. at Calais - Dover Castle</t>
  </si>
  <si>
    <t xml:space="preserve">Blancnez - Dover Castle - Montlambert</t>
  </si>
  <si>
    <t xml:space="preserve">Kapoc Berg - East End of Base - West End of Base</t>
  </si>
  <si>
    <t xml:space="preserve">Riebeek's Kasteel - East End of Base - Kapoc Berg</t>
  </si>
  <si>
    <t xml:space="preserve">K. F. Contre Berg - East End of Base - West End of Base</t>
  </si>
  <si>
    <t xml:space="preserve">Drie Fontein - East End of Base - K. F. Contre Berg</t>
  </si>
  <si>
    <t xml:space="preserve">Zwart Berg - East End of Base - Drie Fontein</t>
  </si>
  <si>
    <t xml:space="preserve">Riebeek's Kasteel - Zwart Berg - East End of Base</t>
  </si>
  <si>
    <t xml:space="preserve">Kapoc Berg - Zwart Berg - Riebeek's Kasteel</t>
  </si>
  <si>
    <t xml:space="preserve">Piket Berg - Zwart Berg - Kapoc Berg</t>
  </si>
  <si>
    <t xml:space="preserve">Piket Berg - Kapoc Berg - Riebeek's Kasteel</t>
  </si>
  <si>
    <t xml:space="preserve">Patrys Berg - Zwart Berg - Kapoc Berg</t>
  </si>
  <si>
    <t xml:space="preserve">Patrys Berg - Piket Berg - Zwart Berg</t>
  </si>
  <si>
    <t xml:space="preserve">Patrys Berg - Kapoc Berg - Piket Berg</t>
  </si>
  <si>
    <t xml:space="preserve">Eland's Berg - Piket Berg - Patrys Berg</t>
  </si>
  <si>
    <t xml:space="preserve">Lambert's Hoek - Eland's Berg - Piket Berg</t>
  </si>
  <si>
    <t xml:space="preserve">Heerenlogement's Berg - Eland's Berg - Lambert's Hoek</t>
  </si>
  <si>
    <t xml:space="preserve">Heerenlogement's Berg - Eland's Berg - Piket Berg</t>
  </si>
  <si>
    <t xml:space="preserve">Heerenlogement's Berg - Piket Berg - Lambert's Hoek</t>
  </si>
  <si>
    <t xml:space="preserve">Ceder Berg - Piket Berg - Eland's Berg</t>
  </si>
  <si>
    <t xml:space="preserve">Ceder Berg - Piket Berg - Heerenlogement's Berg</t>
  </si>
  <si>
    <t xml:space="preserve">Ceder Berg - Eland's Berg - Heerenlogement's Berg</t>
  </si>
  <si>
    <t xml:space="preserve">Kapitein's Kloof - Patrys Berg - Kapoc Berg</t>
  </si>
  <si>
    <t xml:space="preserve">Winter Berg - Kapitein's Kloof - Kapoc Berg</t>
  </si>
  <si>
    <t xml:space="preserve">Ceder Berg - Kapitein's Kloof - Winter Berg</t>
  </si>
  <si>
    <t xml:space="preserve">Heerenlogement's Berg - Kapitein's Kloof - Ceder Berg</t>
  </si>
  <si>
    <t xml:space="preserve">Klip Rug - Heerenlogement's Berg - Ceder Berg</t>
  </si>
  <si>
    <t xml:space="preserve">Bokkeveld's Berg - Heerenlogement's Berg - Klip Rug</t>
  </si>
  <si>
    <t xml:space="preserve">Louis Fontein - Heerenlogement's Berg - Bokkeveld's Berg</t>
  </si>
  <si>
    <t xml:space="preserve">Kamies-Sector Berg - Louis Fontein - Bokkeveld's Berg</t>
  </si>
  <si>
    <t xml:space="preserve">Eland's Hoogte - Heerenlogement's Berg - Bokkeveld's Berg</t>
  </si>
  <si>
    <t xml:space="preserve">Kamies-Sector Berg - Eland's Hoogte - Bokkeveld's Berg</t>
  </si>
  <si>
    <t xml:space="preserve">Keibiskow - Bokkeveld's Berg - Kamies-Sector Berg</t>
  </si>
  <si>
    <t xml:space="preserve">Boschluis - Keibiskow - Kamies-Sector Berg</t>
  </si>
  <si>
    <t xml:space="preserve">Koe Berg - Kamies-Sector Berg - Boschluis</t>
  </si>
  <si>
    <t xml:space="preserve">Roode Wal - Louis Fontein - Kamies-Sector Berg</t>
  </si>
  <si>
    <t xml:space="preserve">Vogel Klip - Roode Wal - Kamies-Sector Berg</t>
  </si>
  <si>
    <t xml:space="preserve">Ezel's Kop - Roode Wal - Louis Fontein</t>
  </si>
  <si>
    <t xml:space="preserve">Vogel Klip - Roode Wal - Ezel's Kop</t>
  </si>
  <si>
    <t xml:space="preserve">Koe Berg - Vogel Klip - Kamies-Sector Berg</t>
  </si>
  <si>
    <t xml:space="preserve">North-Sector Station - Vogel Klip - Kamies-Sector Berg</t>
  </si>
  <si>
    <t xml:space="preserve">Koe Berg - Vogel Klip - North-Sector Station</t>
  </si>
  <si>
    <t xml:space="preserve">Koe Berg - Kamies-Sector Berg - North-Sector Station</t>
  </si>
  <si>
    <t xml:space="preserve">Rogge Bay - Kapoc Berg - Riebeek's Kasteel</t>
  </si>
  <si>
    <t xml:space="preserve">Simon's Berg - Rogge Bay - Riebeek's Kasteel</t>
  </si>
  <si>
    <t xml:space="preserve">Simon's Berg - Kapoc Berg - Riebeek's Kasteel</t>
  </si>
  <si>
    <t xml:space="preserve">Simon's Berg - Kapoc Berg - Rogge Bay</t>
  </si>
  <si>
    <t xml:space="preserve">Royal Observatory - Kapoc Berg - Riebeek's Kasteel</t>
  </si>
  <si>
    <t xml:space="preserve">Simon's Berg - Royal Observatory - Kapoc Berg</t>
  </si>
  <si>
    <t xml:space="preserve">Simon's Berg - Royal Observatory - Riebeek's Kasteel</t>
  </si>
  <si>
    <t xml:space="preserve">King's Battery - Kapoc Berg - Riebeek's Kasteel</t>
  </si>
  <si>
    <t xml:space="preserve">Simon's Berg - King's Battery - Kapoc Berg</t>
  </si>
  <si>
    <t xml:space="preserve">Simon's Berg - King's Battery - Riebeek's Kasteel</t>
  </si>
  <si>
    <t xml:space="preserve">Sneeuw Kop - Royal Observatory - Kapoc Berg</t>
  </si>
  <si>
    <t xml:space="preserve">Sneeuw Kop - King's Battery - Kapoc Berg</t>
  </si>
  <si>
    <t xml:space="preserve">Sneeuw Kop - Kapoc Berg - Winter Berg</t>
  </si>
  <si>
    <t xml:space="preserve">Zwart Kop - Royal Observatory - Sneeuw Kop</t>
  </si>
  <si>
    <t xml:space="preserve">Zwart Kop - King's Battery - Sneeuw Kop</t>
  </si>
  <si>
    <t xml:space="preserve">Zwart Kop - Royal Observatory - Simon's Berg</t>
  </si>
  <si>
    <t xml:space="preserve">Zwart Kop - King's Battery - Simon's Berg</t>
  </si>
  <si>
    <t xml:space="preserve">Cape Point - King's Battery - Simon's Berg</t>
  </si>
  <si>
    <t xml:space="preserve">Cape Point - King's Battery - Sneeuw Kop</t>
  </si>
  <si>
    <t xml:space="preserve">Meridian Mark - Royal Observatory - Sneeuw Kop</t>
  </si>
  <si>
    <t xml:space="preserve">Meridian Mark - King's Battery - Sneeuw Kop</t>
  </si>
  <si>
    <t xml:space="preserve">Meridian Mark - Zwart Kop - Sneeuw Kop</t>
  </si>
  <si>
    <t xml:space="preserve">Meridian Mark - Cape Point - Sneeuw Kop</t>
  </si>
  <si>
    <t xml:space="preserve">Chanctonbury Ring - Leith Hill - Ditchling Beacon</t>
  </si>
  <si>
    <t xml:space="preserve">Rook's Hill - Chanctonbury Ring - Hind Head</t>
  </si>
  <si>
    <t xml:space="preserve">Dunnose - Butser Hill - Rook's Hill</t>
  </si>
  <si>
    <t xml:space="preserve">Dunnose - Butser Hill - Dean Hill</t>
  </si>
  <si>
    <t xml:space="preserve">Dunnose - Dean Hill - Nine Barrow Down</t>
  </si>
  <si>
    <t xml:space="preserve">Nine Barrow Down - Wingreen - Dean Hill</t>
  </si>
  <si>
    <t xml:space="preserve">Beachy Head - Ditchling Beacon - Brightling</t>
  </si>
  <si>
    <t xml:space="preserve">Fairlight Down - Brightling - Beachy Head</t>
  </si>
  <si>
    <t xml:space="preserve">Dunnose - Rook's Hill - Chanctonbury Ring</t>
  </si>
  <si>
    <t xml:space="preserve">Beachy Head - Rook's Hill - Chanctonbury Ring</t>
  </si>
  <si>
    <t xml:space="preserve">Beachy Head - Ditchling Beacon - Chanctonbury Ring</t>
  </si>
  <si>
    <t xml:space="preserve">Beachy Head - Rook's Hill - Dunnose</t>
  </si>
  <si>
    <t xml:space="preserve">Dunnose - Chanctonbury Ring - Beachy Head</t>
  </si>
  <si>
    <t xml:space="preserve">Wingreen - Bull Barrow - Nine Barrow Down</t>
  </si>
  <si>
    <t xml:space="preserve">Black Down - Nine Barrow Down - Bull Barrow</t>
  </si>
  <si>
    <t xml:space="preserve">Mintern - Bull Barrow - Black Down</t>
  </si>
  <si>
    <t xml:space="preserve">Pilsden - Mintern - Black Down</t>
  </si>
  <si>
    <t xml:space="preserve">Charton Common - Black Down - Pilsden</t>
  </si>
  <si>
    <t xml:space="preserve">Dumpdon - Pilsden - Charton Common</t>
  </si>
  <si>
    <t xml:space="preserve">Little Haldon - Charton Common - Dumpdon</t>
  </si>
  <si>
    <t xml:space="preserve">Cawsand Beacon - Dumpdon - Little Haldon</t>
  </si>
  <si>
    <t xml:space="preserve">Rippin Tor - Cawsand Beacon - Little Haldon</t>
  </si>
  <si>
    <t xml:space="preserve">Furland - Little Haldon - Rippin Tor</t>
  </si>
  <si>
    <t xml:space="preserve">Furland - Rippin Tor - Butterton Hill</t>
  </si>
  <si>
    <t xml:space="preserve">Bolt Head - Furland - Butterton Hill</t>
  </si>
  <si>
    <t xml:space="preserve">Maker Heights - Bolt Head - Butterton Hill</t>
  </si>
  <si>
    <t xml:space="preserve">Maker Heights - Butterton Hill - Carraton Hill</t>
  </si>
  <si>
    <t xml:space="preserve">Lansallos - Maker Heights - Carraton Hill</t>
  </si>
  <si>
    <t xml:space="preserve">Kit Hill - Butterton Hill - Maker Heights</t>
  </si>
  <si>
    <t xml:space="preserve">Bindown - Maker Heights - Kit Hill</t>
  </si>
  <si>
    <t xml:space="preserve">Carraton Hill - Kit Hill - Bindown</t>
  </si>
  <si>
    <t xml:space="preserve">Lansallos - Bindown - Carraton Hill</t>
  </si>
  <si>
    <t xml:space="preserve">Lansallos - Carraton Hill - Bodmin Down</t>
  </si>
  <si>
    <t xml:space="preserve">Hensbarrow Beacon - Bodmin Down - Lansallos</t>
  </si>
  <si>
    <t xml:space="preserve">Hensbarrow Beacon - Carraton Hill - Lansallos</t>
  </si>
  <si>
    <t xml:space="preserve">Deadman - Lansallos - Hensbarrow Beacon</t>
  </si>
  <si>
    <t xml:space="preserve">St. Agnes Beacon - Hensbarrow Beacon - Deadman</t>
  </si>
  <si>
    <t xml:space="preserve">St. Agnes Beacon - Deadman - Karnbonellis</t>
  </si>
  <si>
    <t xml:space="preserve">Karnminnis - St. Agnes Beacon - Karnbonellis</t>
  </si>
  <si>
    <t xml:space="preserve">St. Buryan - Karnbonellis - Karnminnis</t>
  </si>
  <si>
    <t xml:space="preserve">Pertinney - Karnminnis - St. Buryan</t>
  </si>
  <si>
    <t xml:space="preserve">Sennen - St. Buryan - Pertinney</t>
  </si>
  <si>
    <t xml:space="preserve">Nine Barrow Down - Black Down - Dean Hill</t>
  </si>
  <si>
    <t xml:space="preserve">Dean Hill - Black Down - Dunnose</t>
  </si>
  <si>
    <t xml:space="preserve">W41 Cassel - W42 Dünkirchen - W38 Nieuport</t>
  </si>
  <si>
    <t xml:space="preserve">W41 Cassel - W38 Nieuport - W40 Mont Kemmel</t>
  </si>
  <si>
    <t xml:space="preserve">W40 Mont Kemmel - W38 Nieuport - W36 Hooglede</t>
  </si>
  <si>
    <t xml:space="preserve">W36 Hooglede - W38 Nieuport - W34 Bruges</t>
  </si>
  <si>
    <t xml:space="preserve">W36 Hooglede - W34 Bruges - W33 Thielt</t>
  </si>
  <si>
    <t xml:space="preserve">W33 Thielt - W34 Bruges - W30 Gand</t>
  </si>
  <si>
    <t xml:space="preserve">W33 Thielt - W30 Gand - W32 Mont l'Enclus</t>
  </si>
  <si>
    <t xml:space="preserve">W32 Mont l'Enclus - W30 Gand - W31 Audenhoven</t>
  </si>
  <si>
    <t xml:space="preserve">W31 Audenhoven - W30 Gand - W29 Assche</t>
  </si>
  <si>
    <t xml:space="preserve">W29 Assche - W30 Gand - W28 Anvers</t>
  </si>
  <si>
    <t xml:space="preserve">W29 Assche - W28 Anvers - W27 Malines</t>
  </si>
  <si>
    <t xml:space="preserve">W27 Malines - W28 Anvers - W26 Herenthals</t>
  </si>
  <si>
    <t xml:space="preserve">W27 Malines - W26 Herenthals - W25 Montaigu</t>
  </si>
  <si>
    <t xml:space="preserve">W25 Montaigu - W26 Herenthals - W24 Lommel</t>
  </si>
  <si>
    <t xml:space="preserve">W25 Montaigu - W24 Lommel - W22 Peer</t>
  </si>
  <si>
    <t xml:space="preserve">W25 Montaigu - W22 Peer - W21 Tongres</t>
  </si>
  <si>
    <t xml:space="preserve">W21 Tongres - W22 Peer - W19 Ubagsberg</t>
  </si>
  <si>
    <t xml:space="preserve">W19 Ubagsberg - W22 Peer - W18 Roermond</t>
  </si>
  <si>
    <t xml:space="preserve">W19 Ubagsberg - W18 Roermond - W17 Erkelenz</t>
  </si>
  <si>
    <t xml:space="preserve">W19 Ubagsberg - W17 Erkelenz - W15 Langschoss</t>
  </si>
  <si>
    <t xml:space="preserve">W15 Langschoss - W17 Erkelenz - W16 Buchholz</t>
  </si>
  <si>
    <t xml:space="preserve">W15 Langschoss - W16 Buchholz - W14 Köln</t>
  </si>
  <si>
    <t xml:space="preserve">W15 Langschoss - W14 Köln - W12 Michelsberg</t>
  </si>
  <si>
    <t xml:space="preserve">W12 Michelsberg - W14 Köln - W13 Siegburg</t>
  </si>
  <si>
    <t xml:space="preserve">W12 Michelsberg - W13 Siegburg - W10 Löwenburg</t>
  </si>
  <si>
    <t xml:space="preserve">W12 Michelsberg - W10 Löwenburg - W11 Nürburg</t>
  </si>
  <si>
    <t xml:space="preserve">W11 Nürburg - W10 Löwenburg - W9 Fleckert</t>
  </si>
  <si>
    <t xml:space="preserve">W9 Fleckert - W10 Löwenburg - W8 Kühfeld</t>
  </si>
  <si>
    <t xml:space="preserve">W9 Fleckert - W8 Kühfeld - W7 Feldberg i. T.</t>
  </si>
  <si>
    <t xml:space="preserve">W7 Feldberg i. T. - W8 Kühfeld - W6 Dünsberg</t>
  </si>
  <si>
    <t xml:space="preserve">W7 Feldberg i. T. - W6 Dünsberg - W4 Taufstein</t>
  </si>
  <si>
    <t xml:space="preserve">W4 Taufstein - W6 Dünsberg - W5 Hohelohr</t>
  </si>
  <si>
    <t xml:space="preserve">W4 Taufstein - W5 Hohelohr - W3 Meissner</t>
  </si>
  <si>
    <t xml:space="preserve">W4 Taufstein - W3 Meissner - W2 Inselsberg</t>
  </si>
  <si>
    <t xml:space="preserve">W2 Inselsberg - W3 Meissner - W1 Brocken</t>
  </si>
  <si>
    <t xml:space="preserve">E2 Inselsberg - E3 Meissner - E4 Ohmberg</t>
  </si>
  <si>
    <t xml:space="preserve">E2 Inselsberg - E4 Ohmberg - E6 Kyffhäuser</t>
  </si>
  <si>
    <t xml:space="preserve">E2 Inselsberg - E6 Kyffhäuser - E7 Ettersberg</t>
  </si>
  <si>
    <t xml:space="preserve">E7 Ettersberg - E6 Kyffhäuser - E8 Wilsdorf</t>
  </si>
  <si>
    <t xml:space="preserve">E8 Wilsdorf - E6 Kyffhäuser - E9 Petersberg</t>
  </si>
  <si>
    <t xml:space="preserve">E8 Wilsdorf - E9 Petersberg - E10 Leipzig</t>
  </si>
  <si>
    <t xml:space="preserve">E10 Leipzig - E9 Petersberg - E11 Wurzelberg</t>
  </si>
  <si>
    <t xml:space="preserve">E10 Leipzig - E11 Wurzelberg - E15 Collm</t>
  </si>
  <si>
    <t xml:space="preserve">E15 Collm - E11 Wurzelberg - E14 Grossberg</t>
  </si>
  <si>
    <t xml:space="preserve">E15 Collm - E14 Grossberg - E16 Strauch</t>
  </si>
  <si>
    <t xml:space="preserve">E16 Strauch - E14 Grossberg - E18 Brautberg</t>
  </si>
  <si>
    <t xml:space="preserve">E16 Strauch - E18 Brautberg - E17 Keulenberg</t>
  </si>
  <si>
    <t xml:space="preserve">E17 Keulenberg - E18 Brautberg - E21 Brandberg</t>
  </si>
  <si>
    <t xml:space="preserve">E17 Keulenberg - E21 Brandberg - E22 Hochstein</t>
  </si>
  <si>
    <t xml:space="preserve">E22 Hochstein - E21 Brandberg - E23 Rückenberg</t>
  </si>
  <si>
    <t xml:space="preserve">E22 Hochstein - E23 Rückenberg - E26 Gröditzberg</t>
  </si>
  <si>
    <t xml:space="preserve">E22 Hochstein - E26 Gröditzberg - E27 Schneekoppe</t>
  </si>
  <si>
    <t xml:space="preserve">E27 Schneekoppe - E26 Gröditzberg - E28 Zobten</t>
  </si>
  <si>
    <t xml:space="preserve">E27 Schneekoppe - E28 Zobten - E33 Schneeberg</t>
  </si>
  <si>
    <t xml:space="preserve">E33 Schneeberg - E28 Zobten - E35 Lossen</t>
  </si>
  <si>
    <t xml:space="preserve">E33 Schneeberg - E35 Lossen - E34 Bischofskoppe</t>
  </si>
  <si>
    <t xml:space="preserve">E34 Bischofskoppe - E35 Lossen - E43 Annaberg</t>
  </si>
  <si>
    <t xml:space="preserve">E34 Bischofskoppe - E43 Annaberg - E44 Pschow</t>
  </si>
  <si>
    <t xml:space="preserve">E44 Pschow - E43 Annaberg - E45 Orzesche</t>
  </si>
  <si>
    <t xml:space="preserve">dropped: blunder, |excess - A/R0^2| &gt; 20" (63.3 vs 3.8)</t>
  </si>
  <si>
    <t xml:space="preserve">E45 Orzesche - E43 Annaberg - E46 Trockenberg</t>
  </si>
  <si>
    <t xml:space="preserve">E46 Trockenberg - E43 Annaberg - E42 Lubetzko</t>
  </si>
  <si>
    <t xml:space="preserve">E46 Trockenberg - E42 Lubetzko - E47 Lubschau</t>
  </si>
  <si>
    <t xml:space="preserve">Coldham - Fairlight - Saint Peters</t>
  </si>
  <si>
    <t xml:space="preserve">Fairlight - Greenwich - Saint Peters</t>
  </si>
  <si>
    <t xml:space="preserve">Coldham - Saint Peters - Gravelines</t>
  </si>
  <si>
    <t xml:space="preserve">Gravelines - Saint Peters - W42 Dünkirchen</t>
  </si>
  <si>
    <t xml:space="preserve">W41 Cassel - W42 Dünkirchen - Saint Inglevert</t>
  </si>
  <si>
    <t xml:space="preserve">Saint Inglevert - W42 Dünkirchen - Fairlight</t>
  </si>
  <si>
    <t xml:space="preserve">Saint Peters - W42 Dünkirchen - Fairlight</t>
  </si>
  <si>
    <t xml:space="preserve">W41 Cassel - W42 Dünkirchen - Harlettes</t>
  </si>
  <si>
    <t xml:space="preserve">Saint Inglevert - Fairlight - Harlettes</t>
  </si>
  <si>
    <t xml:space="preserve">Harlettes - W42 Dünkirchen - Fairlight</t>
  </si>
  <si>
    <t xml:space="preserve">Cassini–Lacaille 1739</t>
  </si>
  <si>
    <t xml:space="preserve">Tour de Salon (T. Septentr. du Ch. de Salon; east end of the Crau base) - Signal de la Crau (west end of the Crau base, by the Lieutenance) - Colombier de Lebre</t>
  </si>
  <si>
    <t xml:space="preserve">Signal de la Crau (west end of the Crau base, by the Lieutenance) - Colombier de Lebre - Signal des Houpies</t>
  </si>
  <si>
    <t xml:space="preserve">Signal des Houpies - Colombier de Lebre - Signal de Sainte Victoire</t>
  </si>
  <si>
    <t xml:space="preserve">Signal des Houpies - Colombier de Lebre - Les Saintes Maries (church terrace; site of the powder fire signal)</t>
  </si>
  <si>
    <t xml:space="preserve">Signal des Houpies - Les Saintes Maries (church terrace; site of the powder fire signal) - Moulin de Calvisson</t>
  </si>
  <si>
    <t xml:space="preserve">Les Saintes Maries (church terrace; site of the powder fire signal) - Moulin de Calvisson - Pilier de Sette (Mont de Sette, beside the Hermitage de S. Clair)</t>
  </si>
  <si>
    <t xml:space="preserve">Brousseaud 45°43′</t>
  </si>
  <si>
    <t xml:space="preserve">Mont-d'Or (signal) - Hermant (signal sur le clocher) - Bort (signal)</t>
  </si>
  <si>
    <t xml:space="preserve">excluded: spherical angles are computed (mean+ε/3), not observed</t>
  </si>
  <si>
    <t xml:space="preserve">Chantillac (moulin) - Nonaville (signal) - Chadenac (signal)</t>
  </si>
  <si>
    <t xml:space="preserve">Suddragherry - Nagamalli - Sekundermalli</t>
  </si>
  <si>
    <t xml:space="preserve">Coonatoor hill - Taulaootpotha - Vullanaud hill</t>
  </si>
  <si>
    <t xml:space="preserve">Vullanaud hill - Vullunkota hill - Kolanelloor hill</t>
  </si>
  <si>
    <t xml:space="preserve">Perrioormalli - Meenachiporam hill - Suddragherry</t>
  </si>
  <si>
    <t xml:space="preserve">Meenachiporam hill - Gopaulswamy hill - Kooteapara</t>
  </si>
  <si>
    <t xml:space="preserve">Koelacondah - Arrakerrabetta - Poolycondah</t>
  </si>
  <si>
    <t xml:space="preserve">dropped: angles disagree with printed sum (1.71 vs 17.10)</t>
  </si>
  <si>
    <t xml:space="preserve">Kerrae Bellagul - Malliabad - Darroor hill</t>
  </si>
  <si>
    <t xml:space="preserve">Malliabad - Darroor hill - Kotapilly hill</t>
  </si>
  <si>
    <t xml:space="preserve">Darroor hill - Kotapilly hill - Inpahgutt</t>
  </si>
  <si>
    <t xml:space="preserve">Doodallah - Daumergidda - Sheelapilly</t>
  </si>
  <si>
    <t xml:space="preserve">Kaunkoortee - Inpahgutt - Kandakoor hill</t>
  </si>
  <si>
    <t xml:space="preserve">Pont - Dogola - M'Kwe Kwe</t>
  </si>
  <si>
    <t xml:space="preserve">Pont - M'Kwe Kwe - Tafel Kop</t>
  </si>
  <si>
    <t xml:space="preserve">M'Kwe Kwe - Mabezibgwa - Tafel Kop</t>
  </si>
  <si>
    <t xml:space="preserve">Ugulumbi - M'Kwe Kwe - Mabezibgwa</t>
  </si>
  <si>
    <t xml:space="preserve">Dogola - M'Kwe Kwe - Ugulumbi</t>
  </si>
  <si>
    <t xml:space="preserve">Jemembi - Ugulumbi - Mabezibgwa</t>
  </si>
  <si>
    <t xml:space="preserve">Kubungwe - Mabezibgwa - Jemembi</t>
  </si>
  <si>
    <t xml:space="preserve">Silamgwe - Kubungwe - Jemembi</t>
  </si>
  <si>
    <t xml:space="preserve">Ikondonko - Silamgwe - Kubungwe</t>
  </si>
  <si>
    <t xml:space="preserve">Igar - Ikondonko - Silamgwe</t>
  </si>
  <si>
    <t xml:space="preserve">Utowa - Igar - Ikondonko</t>
  </si>
  <si>
    <t xml:space="preserve">Belingwe - Utowa - Igar</t>
  </si>
  <si>
    <t xml:space="preserve">Shamba - Belingwe - Utowa</t>
  </si>
  <si>
    <t xml:space="preserve">Wedza - Shamba - Belingwe</t>
  </si>
  <si>
    <t xml:space="preserve">Standaus - Shamba - Wedza</t>
  </si>
  <si>
    <t xml:space="preserve">Belingwe - Standaus - Shamba</t>
  </si>
  <si>
    <t xml:space="preserve">Wedza - Standaus - Belingwe</t>
  </si>
  <si>
    <t xml:space="preserve">Osbornes Ruin - Pooles Island - Finlay</t>
  </si>
  <si>
    <t xml:space="preserve">Clough - Linstid - Finlay</t>
  </si>
  <si>
    <t xml:space="preserve">Clough - Finlay - Osbornes Ruin</t>
  </si>
  <si>
    <t xml:space="preserve">Still Pond - Clough - Finlay</t>
  </si>
  <si>
    <t xml:space="preserve">Still Pond - Clough - Osbornes Ruin</t>
  </si>
  <si>
    <t xml:space="preserve">Still Pond - Finlay - Osbornes Ruin</t>
  </si>
  <si>
    <t xml:space="preserve">Turkey Point - Still Pond - Osbornes Ruin</t>
  </si>
  <si>
    <t xml:space="preserve">Turkey Point - Pooles Island - Osbornes Ruin</t>
  </si>
  <si>
    <t xml:space="preserve">Hope - Linstid - Clough</t>
  </si>
  <si>
    <t xml:space="preserve">Hope - Clough - Still Pond</t>
  </si>
  <si>
    <t xml:space="preserve">Barclay - Hope - Still Pond</t>
  </si>
  <si>
    <t xml:space="preserve">Kent - Hope - Barclay</t>
  </si>
  <si>
    <t xml:space="preserve">Stone - Kent - Mahon</t>
  </si>
  <si>
    <t xml:space="preserve">Hill - Webb - Marriott</t>
  </si>
  <si>
    <t xml:space="preserve">Soper - Webb - Marriott</t>
  </si>
  <si>
    <t xml:space="preserve">Soper - Webb - Hill</t>
  </si>
  <si>
    <t xml:space="preserve">Soper - Marriott - Hill</t>
  </si>
  <si>
    <t xml:space="preserve">Stabler - Webb - Soper</t>
  </si>
  <si>
    <t xml:space="preserve">Stabler - Webb - Hill</t>
  </si>
  <si>
    <t xml:space="preserve">Stabler - Soper - Hill</t>
  </si>
  <si>
    <t xml:space="preserve">Peach Grove - Stabler - Hill</t>
  </si>
  <si>
    <t xml:space="preserve">Sugar Loaf - Stabler - Hill</t>
  </si>
  <si>
    <t xml:space="preserve">Sugar Loaf - Stabler - Peach Grove</t>
  </si>
  <si>
    <t xml:space="preserve">Sugar Loaf - Hill - Peach Grove</t>
  </si>
  <si>
    <t xml:space="preserve">Maryland Heights - Sugar Loaf - Stabler</t>
  </si>
  <si>
    <t xml:space="preserve">Maryland Heights - Sugar Loaf - Peach Grove</t>
  </si>
  <si>
    <t xml:space="preserve">Maryland Heights - Stabler - Peach Grove</t>
  </si>
  <si>
    <t xml:space="preserve">Bull Run - Maryland Heights - Sugar Loaf</t>
  </si>
  <si>
    <t xml:space="preserve">Bull Run - Maryland Heights - Stabler</t>
  </si>
  <si>
    <t xml:space="preserve">Bull Run - Maryland Heights - Peach Grove</t>
  </si>
  <si>
    <t xml:space="preserve">Bull Run - Sugar Loaf - Stabler</t>
  </si>
  <si>
    <t xml:space="preserve">Bull Run - Sugar Loaf - Peach Grove</t>
  </si>
  <si>
    <t xml:space="preserve">Bull Run - Stabler - Peach Grove</t>
  </si>
  <si>
    <t xml:space="preserve">Mount Marshall - Maryland Heights - Sugar Loaf</t>
  </si>
  <si>
    <t xml:space="preserve">Mount Marshall - Maryland Heights - Bull Run</t>
  </si>
  <si>
    <t xml:space="preserve">Mount Marshall - Maryland Heights - Peach Grove</t>
  </si>
  <si>
    <t xml:space="preserve">Mount Marshall - Sugar Loaf - Bull Run</t>
  </si>
  <si>
    <t xml:space="preserve">Mount Marshall - Sugar Loaf - Peach Grove</t>
  </si>
  <si>
    <t xml:space="preserve">Mount Marshall - Bull Run - Peach Grove</t>
  </si>
  <si>
    <t xml:space="preserve">Clark - Mount Marshall - Bull Run</t>
  </si>
  <si>
    <t xml:space="preserve">Fork - Mount Marshall - Bull Run</t>
  </si>
  <si>
    <t xml:space="preserve">Fork - Mount Marshall - Clark</t>
  </si>
  <si>
    <t xml:space="preserve">Fork - Bull Run - Clark</t>
  </si>
  <si>
    <t xml:space="preserve">Humpback - Fork - Clark</t>
  </si>
  <si>
    <t xml:space="preserve">Spear - Humpback - Fork</t>
  </si>
  <si>
    <t xml:space="preserve">Spear - Humpback - Clark</t>
  </si>
  <si>
    <t xml:space="preserve">Spear - Fork - Clark</t>
  </si>
  <si>
    <t xml:space="preserve">Slate Springs - Fork - Humpback</t>
  </si>
  <si>
    <t xml:space="preserve">Elliott Knob - Slate Springs - Fork</t>
  </si>
  <si>
    <t xml:space="preserve">Elliott Knob - Slate Springs - Humpback</t>
  </si>
  <si>
    <t xml:space="preserve">Elliott Knob - Fork - Humpback</t>
  </si>
  <si>
    <t xml:space="preserve">Tobacco Row - Humpback - Spear</t>
  </si>
  <si>
    <t xml:space="preserve">Bald Knob - Elliott Knob - Humpback</t>
  </si>
  <si>
    <t xml:space="preserve">Bald Knob - Humpback - Tobacco Row</t>
  </si>
  <si>
    <t xml:space="preserve">Briery - Elliott Knob - Bald Knob</t>
  </si>
  <si>
    <t xml:space="preserve">Keeney - Briery - Bald Knob</t>
  </si>
  <si>
    <t xml:space="preserve">Beech - Briery - Keeney</t>
  </si>
  <si>
    <t xml:space="preserve">Ivy - Beech - Keeney</t>
  </si>
  <si>
    <t xml:space="preserve">Summersville - Briery - Beech</t>
  </si>
  <si>
    <t xml:space="preserve">Summersville - Beech - Ivy</t>
  </si>
  <si>
    <t xml:space="preserve">Davis - Piney - Pigeon</t>
  </si>
  <si>
    <t xml:space="preserve">Gebhardt - Piney - Pigeon</t>
  </si>
  <si>
    <t xml:space="preserve">Gebhardt - Piney - Davis</t>
  </si>
  <si>
    <t xml:space="preserve">Gebhardt - Pigeon - Davis</t>
  </si>
  <si>
    <t xml:space="preserve">Wray - Gebhardt - Davis</t>
  </si>
  <si>
    <t xml:space="preserve">Oakland - Wray - Gebhardt</t>
  </si>
  <si>
    <t xml:space="preserve">Oakland - Wray - Davis</t>
  </si>
  <si>
    <t xml:space="preserve">Oakland - Gebhardt - Davis</t>
  </si>
  <si>
    <t xml:space="preserve">Fradd - Wray - Gebhardt</t>
  </si>
  <si>
    <t xml:space="preserve">Fradd - Wray - Oakland</t>
  </si>
  <si>
    <t xml:space="preserve">Fradd - Gebhardt - Oakland</t>
  </si>
  <si>
    <t xml:space="preserve">Gould - Fradd - Oakland</t>
  </si>
  <si>
    <t xml:space="preserve">Buena Vista - Gould - Fradd</t>
  </si>
  <si>
    <t xml:space="preserve">Buena Vista - Gould - Oakland</t>
  </si>
  <si>
    <t xml:space="preserve">Buena Vista - Fradd - Oakland</t>
  </si>
  <si>
    <t xml:space="preserve">Howland - Gould - Buena Vista</t>
  </si>
  <si>
    <t xml:space="preserve">Scioto - Fradd - Gould</t>
  </si>
  <si>
    <t xml:space="preserve">Scioto - Gould - Howland</t>
  </si>
  <si>
    <t xml:space="preserve">Cave - Howland - Buena Vista</t>
  </si>
  <si>
    <t xml:space="preserve">Round Top - Scioto - Howland</t>
  </si>
  <si>
    <t xml:space="preserve">Round Top - Howland - Cave</t>
  </si>
  <si>
    <t xml:space="preserve">Twin Creek - Scioto - Round Top</t>
  </si>
  <si>
    <t xml:space="preserve">Peach Mount - Scioto - Twin Creek</t>
  </si>
  <si>
    <t xml:space="preserve">Cherry Ridge - Peach Mount - Twin Creek</t>
  </si>
  <si>
    <t xml:space="preserve">Cherry Ridge - Twin Creek - Round Top</t>
  </si>
  <si>
    <t xml:space="preserve">corrected: printed degree misprint, fixed from printed sides</t>
  </si>
  <si>
    <t xml:space="preserve">Cave Hill - Peach Mount - Cherry Ridge</t>
  </si>
  <si>
    <t xml:space="preserve">Ash Ridge - Peach Mount - Cave Hill</t>
  </si>
  <si>
    <t xml:space="preserve">Ash Ridge - Peach Mount - Cherry Ridge</t>
  </si>
  <si>
    <t xml:space="preserve">Ash Ridge - Cave Hill - Cherry Ridge</t>
  </si>
  <si>
    <t xml:space="preserve">Minerva - Ash Ridge - Cave Hill</t>
  </si>
  <si>
    <t xml:space="preserve">Minerva - Ash Ridge - Cherry Ridge</t>
  </si>
  <si>
    <t xml:space="preserve">Minerva - Cave Hill - Cherry Ridge</t>
  </si>
  <si>
    <t xml:space="preserve">Tate - Ash Ridge - Minerva</t>
  </si>
  <si>
    <t xml:space="preserve">Flaugher - Tate - Ash Ridge</t>
  </si>
  <si>
    <t xml:space="preserve">Flaugher - Tate - Minerva</t>
  </si>
  <si>
    <t xml:space="preserve">Flaugher - Ash Ridge - Minerva</t>
  </si>
  <si>
    <t xml:space="preserve">Stevens - Tate - Flaugher</t>
  </si>
  <si>
    <t xml:space="preserve">Dry Ridge - Stevens - Flaugher</t>
  </si>
  <si>
    <t xml:space="preserve">Tanner - Tate - Stevens</t>
  </si>
  <si>
    <t xml:space="preserve">Tanner - Stevens - Dry Ridge</t>
  </si>
  <si>
    <t xml:space="preserve">Stow - Tanner - Dry Ridge</t>
  </si>
  <si>
    <t xml:space="preserve">Reizin - Tanner - Stow</t>
  </si>
  <si>
    <t xml:space="preserve">Culbertson - Reizin - Stow</t>
  </si>
  <si>
    <t xml:space="preserve">Culbertson - Stow - Dry Ridge</t>
  </si>
  <si>
    <t xml:space="preserve">Honey Creek - Claremont - Hunt City</t>
  </si>
  <si>
    <t xml:space="preserve">Belle Air - Honey Creek - Hunt City</t>
  </si>
  <si>
    <t xml:space="preserve">Belle Air - Oblong - Hunt City</t>
  </si>
  <si>
    <t xml:space="preserve">Summit - Claremont - Honey Creek</t>
  </si>
  <si>
    <t xml:space="preserve">Merom College - Summit - Honey Creek</t>
  </si>
  <si>
    <t xml:space="preserve">Merom College - Honey Creek - Belle Air</t>
  </si>
  <si>
    <t xml:space="preserve">Sisson - Summit - Merom College</t>
  </si>
  <si>
    <t xml:space="preserve">Wright - Sisson - Merom College</t>
  </si>
  <si>
    <t xml:space="preserve">Osborn - Summit - Sisson</t>
  </si>
  <si>
    <t xml:space="preserve">Calvary - Osborn - Sisson</t>
  </si>
  <si>
    <t xml:space="preserve">Calvary - Sisson - Wright</t>
  </si>
  <si>
    <t xml:space="preserve">Beard - Osborn - Calvary</t>
  </si>
  <si>
    <t xml:space="preserve">Rariden - Osborn - Beard</t>
  </si>
  <si>
    <t xml:space="preserve">Leonard - Rariden - Beard</t>
  </si>
  <si>
    <t xml:space="preserve">Leonard - Beard - Calvary</t>
  </si>
  <si>
    <t xml:space="preserve">Fountain - Rariden - Beard</t>
  </si>
  <si>
    <t xml:space="preserve">Fountain - Rariden - Leonard</t>
  </si>
  <si>
    <t xml:space="preserve">Fountain - Beard - Leonard</t>
  </si>
  <si>
    <t xml:space="preserve">Weed Patch - Fountain - Beard</t>
  </si>
  <si>
    <t xml:space="preserve">Weed Patch - Fountain - Leonard</t>
  </si>
  <si>
    <t xml:space="preserve">Weed Patch - Beard - Leonard</t>
  </si>
  <si>
    <t xml:space="preserve">Miller - Rariden - Fountain</t>
  </si>
  <si>
    <t xml:space="preserve">Miller - Fountain - Weed Patch</t>
  </si>
  <si>
    <t xml:space="preserve">Tripp - Miller - Weed Patch</t>
  </si>
  <si>
    <t xml:space="preserve">Tripp - Green - Stout</t>
  </si>
  <si>
    <t xml:space="preserve">Tripp - Stout - Miller</t>
  </si>
  <si>
    <t xml:space="preserve">Tripp - Weed Patch - Green</t>
  </si>
  <si>
    <t xml:space="preserve">Turkey Hill - Dreyer - Clarks Mound</t>
  </si>
  <si>
    <t xml:space="preserve">Berger - Turkey Hill - Clarks Mound</t>
  </si>
  <si>
    <t xml:space="preserve">Berger - Clarks Mound - Sugar Loaf Mound</t>
  </si>
  <si>
    <t xml:space="preserve">Parkinson - Berger - Turkey Hill</t>
  </si>
  <si>
    <t xml:space="preserve">Parkinson - Berger - Sugar Loaf Mound</t>
  </si>
  <si>
    <t xml:space="preserve">Geoffrey - Turkey Hill - Berger</t>
  </si>
  <si>
    <t xml:space="preserve">Geoffrey - Turkey Hill - Parkinson</t>
  </si>
  <si>
    <t xml:space="preserve">Geoffrey - Berger - Parkinson</t>
  </si>
  <si>
    <t xml:space="preserve">Hoile - Geoffrey - Parkinson</t>
  </si>
  <si>
    <t xml:space="preserve">Bording - Geoffrey - Parkinson</t>
  </si>
  <si>
    <t xml:space="preserve">Bording - Geoffrey - Hoile</t>
  </si>
  <si>
    <t xml:space="preserve">Bording - Parkinson - Hoile</t>
  </si>
  <si>
    <t xml:space="preserve">Hartlin - Bording - Hoile</t>
  </si>
  <si>
    <t xml:space="preserve">Sturgess - Hartlin - Bording</t>
  </si>
  <si>
    <t xml:space="preserve">Sturgess - Hartlin - Hoile</t>
  </si>
  <si>
    <t xml:space="preserve">Sturgess - Bording - Hoile</t>
  </si>
  <si>
    <t xml:space="preserve">Mound - Hartlin - Sturgess</t>
  </si>
  <si>
    <t xml:space="preserve">Lucas - Newton - Denver</t>
  </si>
  <si>
    <t xml:space="preserve">Island Creek - Hunt City - Newton</t>
  </si>
  <si>
    <t xml:space="preserve">Island Creek - Newton - Denver</t>
  </si>
  <si>
    <t xml:space="preserve">Island Creek - Newton - Lucas</t>
  </si>
  <si>
    <t xml:space="preserve">Island Creek - Denver - Lucas</t>
  </si>
  <si>
    <t xml:space="preserve">Island Creek - Lucas - Mound</t>
  </si>
  <si>
    <t xml:space="preserve">Morgan - Minoma - Insane Asylum</t>
  </si>
  <si>
    <t xml:space="preserve">Morgan - Insane Asylum - Kleinschmidt</t>
  </si>
  <si>
    <t xml:space="preserve">Patterson - Morgan - Insane Asylum</t>
  </si>
  <si>
    <t xml:space="preserve">Patterson - Morgan - Kleinschmidt</t>
  </si>
  <si>
    <t xml:space="preserve">Patterson - Insane Asylum - Kleinschmidt</t>
  </si>
  <si>
    <t xml:space="preserve">Kessler - Morgan - Insane Asylum</t>
  </si>
  <si>
    <t xml:space="preserve">Kessler - Morgan - Patterson</t>
  </si>
  <si>
    <t xml:space="preserve">Kessler - Insane Asylum - Patterson</t>
  </si>
  <si>
    <t xml:space="preserve">Tavern Rock - Morgan - Kessler</t>
  </si>
  <si>
    <t xml:space="preserve">Tavern Rock - Morgan - Patterson</t>
  </si>
  <si>
    <t xml:space="preserve">Tavern Rock - Kessler - Patterson</t>
  </si>
  <si>
    <t xml:space="preserve">Lynch - Tavern Rock - Patterson</t>
  </si>
  <si>
    <t xml:space="preserve">Halleck - Tavern Rock - Lynch</t>
  </si>
  <si>
    <t xml:space="preserve">Dieckhaus - Tavern Rock - Lynch</t>
  </si>
  <si>
    <t xml:space="preserve">Dieckhaus - Tavern Rock - Halleck</t>
  </si>
  <si>
    <t xml:space="preserve">Dieckhaus - Lynch - Halleck</t>
  </si>
  <si>
    <t xml:space="preserve">Peters - Dieckhaus - Tavern Rock</t>
  </si>
  <si>
    <t xml:space="preserve">Peters - Dieckhaus - Halleck</t>
  </si>
  <si>
    <t xml:space="preserve">Peters - Dieckhaus - Lynch</t>
  </si>
  <si>
    <t xml:space="preserve">Peters - Tavern Rock - Halleck</t>
  </si>
  <si>
    <t xml:space="preserve">Peters - Tavern Rock - Lynch</t>
  </si>
  <si>
    <t xml:space="preserve">Peters - Halleck - Lynch</t>
  </si>
  <si>
    <t xml:space="preserve">Berger - Dieckhaus - Peters</t>
  </si>
  <si>
    <t xml:space="preserve">Berger - Peters - Jacobs</t>
  </si>
  <si>
    <t xml:space="preserve">Winter - Berger - Jacobs</t>
  </si>
  <si>
    <t xml:space="preserve">Gasconade - Berger - Jacobs</t>
  </si>
  <si>
    <t xml:space="preserve">Gasconade - Berger - Winter</t>
  </si>
  <si>
    <t xml:space="preserve">Gasconade - Jacobs - Winter</t>
  </si>
  <si>
    <t xml:space="preserve">Turnpike Bluff - Gasconade - Winter</t>
  </si>
  <si>
    <t xml:space="preserve">Geyer - Turnpike Bluff - Gasconade</t>
  </si>
  <si>
    <t xml:space="preserve">Geyer - Turnpike Bluff - Winter</t>
  </si>
  <si>
    <t xml:space="preserve">Geyer - Gasconade - Winter</t>
  </si>
  <si>
    <t xml:space="preserve">Bradford - Turnpike Bluff - Gasconade</t>
  </si>
  <si>
    <t xml:space="preserve">Bradford - Turnpike Bluff - Winter</t>
  </si>
  <si>
    <t xml:space="preserve">Bradford - Turnpike Bluff - Geyer</t>
  </si>
  <si>
    <t xml:space="preserve">Bradford - Gasconade - Winter</t>
  </si>
  <si>
    <t xml:space="preserve">Bradford - Gasconade - Geyer</t>
  </si>
  <si>
    <t xml:space="preserve">Bradford - Winter - Geyer</t>
  </si>
  <si>
    <t xml:space="preserve">Pilot Knob - Bradford - Turnpike Bluff</t>
  </si>
  <si>
    <t xml:space="preserve">Pilot Knob - Bradford - Geyer</t>
  </si>
  <si>
    <t xml:space="preserve">Pilot Knob - Turnpike Bluff - Geyer</t>
  </si>
  <si>
    <t xml:space="preserve">McDaniel - Bradford - Pilot Knob</t>
  </si>
  <si>
    <t xml:space="preserve">Kennedy - McDaniel - Pilot Knob</t>
  </si>
  <si>
    <t xml:space="preserve">Cedar - Bradford - McDaniel</t>
  </si>
  <si>
    <t xml:space="preserve">Cedar - McDaniel - Kennedy</t>
  </si>
  <si>
    <t xml:space="preserve">Belshe - Cedar - Kennedy</t>
  </si>
  <si>
    <t xml:space="preserve">Moreau - Cedar - Kennedy</t>
  </si>
  <si>
    <t xml:space="preserve">Moreau - Cedar - Belshe</t>
  </si>
  <si>
    <t xml:space="preserve">Moreau - Kennedy - Belshe</t>
  </si>
  <si>
    <t xml:space="preserve">Moreau - Belshe - High Point</t>
  </si>
  <si>
    <t xml:space="preserve">Moreau - Belshe - Christian</t>
  </si>
  <si>
    <t xml:space="preserve">Moreau - High Point - Christian</t>
  </si>
  <si>
    <t xml:space="preserve">Medlock - Cedar - Belshe</t>
  </si>
  <si>
    <t xml:space="preserve">Medlock - Cedar - Moreau</t>
  </si>
  <si>
    <t xml:space="preserve">Medlock - Belshe - Moreau</t>
  </si>
  <si>
    <t xml:space="preserve">Medlock - Belshe - Christian</t>
  </si>
  <si>
    <t xml:space="preserve">Medlock - Moreau - Christian</t>
  </si>
  <si>
    <t xml:space="preserve">Schnackenberg - Hubbard - Hughes</t>
  </si>
  <si>
    <t xml:space="preserve">Heard - Hubbard - Hughes</t>
  </si>
  <si>
    <t xml:space="preserve">Heard - Hubbard - Schnackenberg</t>
  </si>
  <si>
    <t xml:space="preserve">Schnackenberg - Heard - Hughes</t>
  </si>
  <si>
    <t xml:space="preserve">Kendrick - Heard - Schnackenberg</t>
  </si>
  <si>
    <t xml:space="preserve">Knob Noster - Heard - Kendrick</t>
  </si>
  <si>
    <t xml:space="preserve">High Point Tebo - Kendrick - Schnackenberg</t>
  </si>
  <si>
    <t xml:space="preserve">High Point Tebo - Knob Noster - Kendrick</t>
  </si>
  <si>
    <t xml:space="preserve">Normal - Knob Noster - High Point Tebo</t>
  </si>
  <si>
    <t xml:space="preserve">Caldwell - Knob Noster - High Point Tebo</t>
  </si>
  <si>
    <t xml:space="preserve">Caldwell - Normal - High Point Tebo</t>
  </si>
  <si>
    <t xml:space="preserve">Normal - Knob Noster - Caldwell</t>
  </si>
  <si>
    <t xml:space="preserve">Baker - Normal - Caldwell</t>
  </si>
  <si>
    <t xml:space="preserve">Hutton Mound - Baker - Caldwell</t>
  </si>
  <si>
    <t xml:space="preserve">Chapel Hill - Normal - Baker</t>
  </si>
  <si>
    <t xml:space="preserve">Thornton - Chapel Hill - Baker</t>
  </si>
  <si>
    <t xml:space="preserve">Fulton - Baker - Hutton Mound</t>
  </si>
  <si>
    <t xml:space="preserve">Thornton - Baker - Hutton Mound</t>
  </si>
  <si>
    <t xml:space="preserve">Thornton - Baker - Fulton</t>
  </si>
  <si>
    <t xml:space="preserve">Fulton - Thornton - Hutton Mound</t>
  </si>
  <si>
    <t xml:space="preserve">Bowler - Thornton - Fulton</t>
  </si>
  <si>
    <t xml:space="preserve">Bowler - Chapel Hill - Thornton</t>
  </si>
  <si>
    <t xml:space="preserve">Berry - Bowler - Fulton</t>
  </si>
  <si>
    <t xml:space="preserve">Marty - Bowler - Berry</t>
  </si>
  <si>
    <t xml:space="preserve">Haskin - Berry - Fulton</t>
  </si>
  <si>
    <t xml:space="preserve">Haskin - Marty - Berry</t>
  </si>
  <si>
    <t xml:space="preserve">Thomas - Marty - Haskin</t>
  </si>
  <si>
    <t xml:space="preserve">Eckman - Marty - Thomas</t>
  </si>
  <si>
    <t xml:space="preserve">Bébé Mound - Thomas - Haskin</t>
  </si>
  <si>
    <t xml:space="preserve">Bébé Mound - Eckman - Thomas</t>
  </si>
  <si>
    <t xml:space="preserve">Kanwaka - Eckman - Bébé Mound</t>
  </si>
  <si>
    <t xml:space="preserve">Simmons - Eckman - Bébé Mound</t>
  </si>
  <si>
    <t xml:space="preserve">Simmons - Kanwaka - Bébé Mound</t>
  </si>
  <si>
    <t xml:space="preserve">Kanwaka - Eckman - Simmons</t>
  </si>
  <si>
    <t xml:space="preserve">Elevation - Kanwaka - Simmons</t>
  </si>
  <si>
    <t xml:space="preserve">Mabon - Kanwaka - Simmons</t>
  </si>
  <si>
    <t xml:space="preserve">Mabon - Elevation - Simmons</t>
  </si>
  <si>
    <t xml:space="preserve">Elevation - Kanwaka - Mabon</t>
  </si>
  <si>
    <t xml:space="preserve">Powell - Elevation - Mabon</t>
  </si>
  <si>
    <t xml:space="preserve">Clark - Elevation - Mabon</t>
  </si>
  <si>
    <t xml:space="preserve">Clark - Powell - Mabon</t>
  </si>
  <si>
    <t xml:space="preserve">Powell - Clark - Elevation</t>
  </si>
  <si>
    <t xml:space="preserve">Adams - Elevation - Clark</t>
  </si>
  <si>
    <t xml:space="preserve">Adams - Elevation - Powell</t>
  </si>
  <si>
    <t xml:space="preserve">Adams - Powell - Clark</t>
  </si>
  <si>
    <t xml:space="preserve">Meyer - Adams - Clark</t>
  </si>
  <si>
    <t xml:space="preserve">Zean Dale - Adams - Clark</t>
  </si>
  <si>
    <t xml:space="preserve">Zean Dale - Adams - Meyer</t>
  </si>
  <si>
    <t xml:space="preserve">Meyer - Zean Dale - Clark</t>
  </si>
  <si>
    <t xml:space="preserve">Reinhard - Zean Dale - Meyer</t>
  </si>
  <si>
    <t xml:space="preserve">Reinhard - Zean Dale - Clark</t>
  </si>
  <si>
    <t xml:space="preserve">Meyer - Clark - Reinhard</t>
  </si>
  <si>
    <t xml:space="preserve">Humboldt - Zean Dale - Reinhard</t>
  </si>
  <si>
    <t xml:space="preserve">Erricssen - Zean Dale - Reinhard</t>
  </si>
  <si>
    <t xml:space="preserve">Erricssen - Zean Dale - Humboldt</t>
  </si>
  <si>
    <t xml:space="preserve">Humboldt - Reinhard - Erricssen</t>
  </si>
  <si>
    <t xml:space="preserve">Robbins - Erricssen - Humboldt</t>
  </si>
  <si>
    <t xml:space="preserve">Robbins - Humboldt - Reinhard</t>
  </si>
  <si>
    <t xml:space="preserve">Robbins - Erricssen - Reinhard</t>
  </si>
  <si>
    <t xml:space="preserve">White City - Robbins - Reinhard</t>
  </si>
  <si>
    <t xml:space="preserve">Wilmer - Erricssen - Robbins</t>
  </si>
  <si>
    <t xml:space="preserve">Taylor - Robbins - White City</t>
  </si>
  <si>
    <t xml:space="preserve">Taylor - Wilmer - Robbins</t>
  </si>
  <si>
    <t xml:space="preserve">Frey - Wilmer - Taylor</t>
  </si>
  <si>
    <t xml:space="preserve">Vine Creek - Wilmer - Taylor</t>
  </si>
  <si>
    <t xml:space="preserve">Frey - Vine Creek - Wilmer</t>
  </si>
  <si>
    <t xml:space="preserve">Frey - Taylor - Vine Creek</t>
  </si>
  <si>
    <t xml:space="preserve">Iron Mound - Vine Creek - Taylor</t>
  </si>
  <si>
    <t xml:space="preserve">Frey - Taylor - Iron Mound</t>
  </si>
  <si>
    <t xml:space="preserve">Vine Creek - Frey - Iron Mound</t>
  </si>
  <si>
    <t xml:space="preserve">Lincoln - Thompson - Heath</t>
  </si>
  <si>
    <t xml:space="preserve">Golden Belt - Thompson - Heath</t>
  </si>
  <si>
    <t xml:space="preserve">Golden Belt - Lincoln - Heath</t>
  </si>
  <si>
    <t xml:space="preserve">Lincoln - Thompson - Golden Belt</t>
  </si>
  <si>
    <t xml:space="preserve">Wilson - Lincoln - Heath</t>
  </si>
  <si>
    <t xml:space="preserve">Wilson - Golden Belt - Heath</t>
  </si>
  <si>
    <t xml:space="preserve">Golden Belt - Lincoln - Wilson</t>
  </si>
  <si>
    <t xml:space="preserve">Meades Ranch - Lincoln - Wilson</t>
  </si>
  <si>
    <t xml:space="preserve">Meades Ranch - Lincoln - Heath</t>
  </si>
  <si>
    <t xml:space="preserve">Wilson - Meades Ranch - Heath</t>
  </si>
  <si>
    <t xml:space="preserve">Golden Belt - Meades Ranch - Lincoln</t>
  </si>
  <si>
    <t xml:space="preserve">Golden Belt - Meades Ranch - Heath</t>
  </si>
  <si>
    <t xml:space="preserve">Wilson - Meades Ranch - Golden Belt</t>
  </si>
  <si>
    <t xml:space="preserve">Bunker Hill - Meades Ranch - Wilson</t>
  </si>
  <si>
    <t xml:space="preserve">Waldo - Meades Ranch - Wilson</t>
  </si>
  <si>
    <t xml:space="preserve">Waldo - Meades Ranch - Bunker Hill</t>
  </si>
  <si>
    <t xml:space="preserve">Bunker Hill - Waldo - Wilson</t>
  </si>
  <si>
    <t xml:space="preserve">Blue Hill - Waldo - Bunker Hill</t>
  </si>
  <si>
    <t xml:space="preserve">Blue Hill - Meades Ranch - Bunker Hill</t>
  </si>
  <si>
    <t xml:space="preserve">Waldo - Meades Ranch - Blue Hill</t>
  </si>
  <si>
    <t xml:space="preserve">Allen - Waldo - Bunker Hill</t>
  </si>
  <si>
    <t xml:space="preserve">Allen - Blue Hill - Waldo</t>
  </si>
  <si>
    <t xml:space="preserve">Allen - Blue Hill - Bunker Hill</t>
  </si>
  <si>
    <t xml:space="preserve">Fairmount - Blue Hill - Bunker Hill</t>
  </si>
  <si>
    <t xml:space="preserve">Fairmount - Blue Hill - Allen</t>
  </si>
  <si>
    <t xml:space="preserve">Allen - Bunker Hill - Fairmount</t>
  </si>
  <si>
    <t xml:space="preserve">Hays - Blue Hill - Fairmount</t>
  </si>
  <si>
    <t xml:space="preserve">Hays - Blue Hill - Allen</t>
  </si>
  <si>
    <t xml:space="preserve">Fairmount - Hays - Allen</t>
  </si>
  <si>
    <t xml:space="preserve">La Crosse - Hays - Fairmount</t>
  </si>
  <si>
    <t xml:space="preserve">La Crosse - Blue Hill - Fairmount</t>
  </si>
  <si>
    <t xml:space="preserve">Hays - Blue Hill - La Crosse</t>
  </si>
  <si>
    <t xml:space="preserve">Smoky Hill - Hays - La Crosse</t>
  </si>
  <si>
    <t xml:space="preserve">Smoky Hill - Hays - Fairmount</t>
  </si>
  <si>
    <t xml:space="preserve">Smoky Hill - Fairmount - La Crosse</t>
  </si>
  <si>
    <t xml:space="preserve">Trego - Hays - Smoky Hill</t>
  </si>
  <si>
    <t xml:space="preserve">Skaggs - Trego - Smoky Hill</t>
  </si>
  <si>
    <t xml:space="preserve">Skaggs - Smoky Hill - La Crosse</t>
  </si>
  <si>
    <t xml:space="preserve">Big Creek - Trego - Skaggs</t>
  </si>
  <si>
    <t xml:space="preserve">Schmidt - Trego - Skaggs</t>
  </si>
  <si>
    <t xml:space="preserve">Schmidt - Big Creek - Skaggs</t>
  </si>
  <si>
    <t xml:space="preserve">Big Creek - Trego - Schmidt</t>
  </si>
  <si>
    <t xml:space="preserve">Indian Creek - Big Creek - Schmidt</t>
  </si>
  <si>
    <t xml:space="preserve">Canyon - Big Creek - Schmidt</t>
  </si>
  <si>
    <t xml:space="preserve">Canyon - Indian Creek - Schmidt</t>
  </si>
  <si>
    <t xml:space="preserve">Indian Creek - Big Creek - Canyon</t>
  </si>
  <si>
    <t xml:space="preserve">Beaver - Indian Creek - Canyon</t>
  </si>
  <si>
    <t xml:space="preserve">Monument - Indian Creek - Canyon</t>
  </si>
  <si>
    <t xml:space="preserve">Monument - Indian Creek - Beaver</t>
  </si>
  <si>
    <t xml:space="preserve">Beaver - Monument - Canyon</t>
  </si>
  <si>
    <t xml:space="preserve">Gopher - Monument - Beaver</t>
  </si>
  <si>
    <t xml:space="preserve">Sheridan - Monument - Beaver</t>
  </si>
  <si>
    <t xml:space="preserve">Sheridan - Gopher - Beaver</t>
  </si>
  <si>
    <t xml:space="preserve">Gopher - Monument - Sheridan</t>
  </si>
  <si>
    <t xml:space="preserve">Teeters Hill - Gopher - Sheridan</t>
  </si>
  <si>
    <t xml:space="preserve">Wallace Bluffs - Gopher - Sheridan</t>
  </si>
  <si>
    <t xml:space="preserve">Wallace Bluffs - Teeters Hill - Sheridan</t>
  </si>
  <si>
    <t xml:space="preserve">Teeters Hill - Gopher - Wallace Bluffs</t>
  </si>
  <si>
    <t xml:space="preserve">Turtle - Teeters Hill - Wallace Bluffs</t>
  </si>
  <si>
    <t xml:space="preserve">Turtle - Teeters Hill - Sheridan</t>
  </si>
  <si>
    <t xml:space="preserve">Turtle - Sheridan - Wallace Bluffs</t>
  </si>
  <si>
    <t xml:space="preserve">Curlew - Turtle - Wallace Bluffs</t>
  </si>
  <si>
    <t xml:space="preserve">Curlew - Turtle - Teeters Hill</t>
  </si>
  <si>
    <t xml:space="preserve">Curlew - Teeters Hill - Wallace Bluffs</t>
  </si>
  <si>
    <t xml:space="preserve">McLane - Turtle - Curlew</t>
  </si>
  <si>
    <t xml:space="preserve">McLane - Turtle - Wallace Bluffs</t>
  </si>
  <si>
    <t xml:space="preserve">McLane - Wallace Bluffs - Curlew</t>
  </si>
  <si>
    <t xml:space="preserve">Arapahoe - McLane - Curlew</t>
  </si>
  <si>
    <t xml:space="preserve">Arapahoe - McLane - Turtle</t>
  </si>
  <si>
    <t xml:space="preserve">Arapahoe - Turtle - Curlew</t>
  </si>
  <si>
    <t xml:space="preserve">Monotony - McLane - Arapahoe</t>
  </si>
  <si>
    <t xml:space="preserve">Monotony - McLane - Curlew</t>
  </si>
  <si>
    <t xml:space="preserve">Monotony - Curlew - Arapahoe</t>
  </si>
  <si>
    <t xml:space="preserve">Cheyenne Wells - Monotony - Arapahoe</t>
  </si>
  <si>
    <t xml:space="preserve">First View - Monotony - Arapahoe</t>
  </si>
  <si>
    <t xml:space="preserve">First View - Cheyenne Wells - Arapahoe</t>
  </si>
  <si>
    <t xml:space="preserve">Cheyenne Wells - Monotony - First View</t>
  </si>
  <si>
    <t xml:space="preserve">Landsman - Monotony - First View</t>
  </si>
  <si>
    <t xml:space="preserve">Landsman - Monotony - Cheyenne Wells</t>
  </si>
  <si>
    <t xml:space="preserve">Landsman - Cheyenne Wells - First View</t>
  </si>
  <si>
    <t xml:space="preserve">Kit Carson - Landsman - First View</t>
  </si>
  <si>
    <t xml:space="preserve">Eureka - Landsman - First View</t>
  </si>
  <si>
    <t xml:space="preserve">Eureka - Landsman - Kit Carson</t>
  </si>
  <si>
    <t xml:space="preserve">Kit Carson - Eureka - First View</t>
  </si>
  <si>
    <t xml:space="preserve">Aroya - Eureka - Kit Carson</t>
  </si>
  <si>
    <t xml:space="preserve">Overland - Eureka - Kit Carson</t>
  </si>
  <si>
    <t xml:space="preserve">Overland - Eureka - Aroya</t>
  </si>
  <si>
    <t xml:space="preserve">Aroya - Overland - Kit Carson</t>
  </si>
  <si>
    <t xml:space="preserve">Hugo - Overland - Aroya</t>
  </si>
  <si>
    <t xml:space="preserve">Adobe - Overland - Aroya</t>
  </si>
  <si>
    <t xml:space="preserve">Adobe - Hugo - Aroya</t>
  </si>
  <si>
    <t xml:space="preserve">Hugo - Overland - Adobe</t>
  </si>
  <si>
    <t xml:space="preserve">Square Bluffs - Hugo - Adobe</t>
  </si>
  <si>
    <t xml:space="preserve">Holt - Hugo - Square Bluffs</t>
  </si>
  <si>
    <t xml:space="preserve">Holcolm Hills - Holt - Square Bluffs</t>
  </si>
  <si>
    <t xml:space="preserve">Cramers Gulch - Square Bluffs - Adobe</t>
  </si>
  <si>
    <t xml:space="preserve">Big Springs - Square Bluffs - Cramers Gulch</t>
  </si>
  <si>
    <t xml:space="preserve">Holcolm Hills - Square Bluffs - Big Springs</t>
  </si>
  <si>
    <t xml:space="preserve">Wasatch - Tushar - Mount Nebo</t>
  </si>
  <si>
    <t xml:space="preserve">Mount Ellen - Tushar - Wasatch</t>
  </si>
  <si>
    <t xml:space="preserve">Patmos Head - Wasatch - Mount Nebo</t>
  </si>
  <si>
    <t xml:space="preserve">Patmos Head - Mount Ellen - Wasatch</t>
  </si>
  <si>
    <t xml:space="preserve">Mount Waas - Mount Ellen - Patmos Head</t>
  </si>
  <si>
    <t xml:space="preserve">Tavaputs - Mount Waas - Patmos Head</t>
  </si>
  <si>
    <t xml:space="preserve">Treasury Mountain - Mount Waas - Tavaputs</t>
  </si>
  <si>
    <t xml:space="preserve">Uncompahgre - Mount Waas - Tavaputs</t>
  </si>
  <si>
    <t xml:space="preserve">Uncompahgre - Mount Waas - Treasury Mountain</t>
  </si>
  <si>
    <t xml:space="preserve">Treasury Mountain - Uncompahgre - Tavaputs</t>
  </si>
  <si>
    <t xml:space="preserve">Uncompahgre - Mount Ellen - Mount Waas</t>
  </si>
  <si>
    <t xml:space="preserve">Mount Ouray - Uncompahgre - Treasury Mountain</t>
  </si>
  <si>
    <t xml:space="preserve">Mount Elbert - Uncompahgre - Treasury Mountain</t>
  </si>
  <si>
    <t xml:space="preserve">Mount Elbert - Mount Ouray - Treasury Mountain</t>
  </si>
  <si>
    <t xml:space="preserve">Mount Ouray - Uncompahgre - Mount Elbert</t>
  </si>
  <si>
    <t xml:space="preserve">Bison - Mount Ouray - Mount Elbert</t>
  </si>
  <si>
    <t xml:space="preserve">Pikes Peak - Mount Ouray - Mount Elbert</t>
  </si>
  <si>
    <t xml:space="preserve">Pikes Peak - Mount Ouray - Bison</t>
  </si>
  <si>
    <t xml:space="preserve">Bison - Pikes Peak - Mount Elbert</t>
  </si>
  <si>
    <t xml:space="preserve">Plateau - Mount Ouray - Pikes Peak</t>
  </si>
  <si>
    <t xml:space="preserve">Divide - Pikes Peak - Bison</t>
  </si>
  <si>
    <t xml:space="preserve">Big Springs - Plateau - Pikes Peak</t>
  </si>
  <si>
    <t xml:space="preserve">Big Springs - Pikes Peak - Divide</t>
  </si>
  <si>
    <t xml:space="preserve">Plateau - Corral Bluffs - Big Springs</t>
  </si>
  <si>
    <t xml:space="preserve">Mount Lola - Mount Diablo - Mount Helena</t>
  </si>
  <si>
    <t xml:space="preserve">Round Top - Mount Diablo - Mount Helena</t>
  </si>
  <si>
    <t xml:space="preserve">Round Top - Mount Diablo - Mount Lola</t>
  </si>
  <si>
    <t xml:space="preserve">Mount Lola - Round Top - Mount Helena</t>
  </si>
  <si>
    <t xml:space="preserve">Mocho - Mount Tamalpais - Mount Diablo</t>
  </si>
  <si>
    <t xml:space="preserve">Mocho - Mount Diablo - Round Top</t>
  </si>
  <si>
    <t xml:space="preserve">Mount Conness - Mount Diablo - Round Top</t>
  </si>
  <si>
    <t xml:space="preserve">Mount Conness - Mocho - Round Top</t>
  </si>
  <si>
    <t xml:space="preserve">Mocho - Mount Diablo - Mount Conness</t>
  </si>
  <si>
    <t xml:space="preserve">Mount Como - Round Top - Mount Lola</t>
  </si>
  <si>
    <t xml:space="preserve">Pah-Rah - Mount Como - Mount Lola</t>
  </si>
  <si>
    <t xml:space="preserve">Mount Grant - Round Top - Mount Como</t>
  </si>
  <si>
    <t xml:space="preserve">Mount Grant - Mount Como - Pah-Rah</t>
  </si>
  <si>
    <t xml:space="preserve">Carson Sink - Mount Grant - Mount Como</t>
  </si>
  <si>
    <t xml:space="preserve">Carson Sink - Mount Como - Pah-Rah</t>
  </si>
  <si>
    <t xml:space="preserve">Pah-Rah - Carson Sink - Mount Grant</t>
  </si>
  <si>
    <t xml:space="preserve">Mount Conness - Round Top - Mount Grant</t>
  </si>
  <si>
    <t xml:space="preserve">Toiyabe Dome - Mount Grant - Carson Sink</t>
  </si>
  <si>
    <t xml:space="preserve">Lone Mountain - Mount Grant - Toiyabe Dome</t>
  </si>
  <si>
    <t xml:space="preserve">Mount Conness - Mount Grant - Toiyabe Dome</t>
  </si>
  <si>
    <t xml:space="preserve">Mount Conness - Mount Grant - Lone Mountain</t>
  </si>
  <si>
    <t xml:space="preserve">Mount Conness - Toiyabe Dome - Lone Mountain</t>
  </si>
  <si>
    <t xml:space="preserve">Mount Callahan - Toiyabe Dome - Carson Sink</t>
  </si>
  <si>
    <t xml:space="preserve">Diamond Peak - Toiyabe Dome - Mount Callahan</t>
  </si>
  <si>
    <t xml:space="preserve">White Pine - Lone Mountain - Toiyabe Dome</t>
  </si>
  <si>
    <t xml:space="preserve">Diamond Peak - White Pine - Toiyabe Dome</t>
  </si>
  <si>
    <t xml:space="preserve">Wheeler Peak - White Pine - Diamond Peak</t>
  </si>
  <si>
    <t xml:space="preserve">Pioche - White Pine - Wheeler Peak</t>
  </si>
  <si>
    <t xml:space="preserve">Tushar - Pioche - Wheeler Peak</t>
  </si>
  <si>
    <t xml:space="preserve">Ibepah - Wheeler Peak - Diamond Peak</t>
  </si>
  <si>
    <t xml:space="preserve">Ibepah - Tushar - Wheeler Peak</t>
  </si>
  <si>
    <t xml:space="preserve">Mount Nebo - Tushar - Wheeler Peak</t>
  </si>
  <si>
    <t xml:space="preserve">Mount Nebo - Wheeler Peak - Ibepah</t>
  </si>
  <si>
    <t xml:space="preserve">Mount Nebo - Tushar - Ibepah</t>
  </si>
  <si>
    <t xml:space="preserve">Pilot Peak - Mount Nebo - Wheeler Peak</t>
  </si>
  <si>
    <t xml:space="preserve">Ibepah - Wheeler Peak - Pilot Peak</t>
  </si>
  <si>
    <t xml:space="preserve">Ross Mountain - Mount Helena - Mount Diablo</t>
  </si>
  <si>
    <t xml:space="preserve">Ross Mountain - Mount Helena - Mount Tamalpais</t>
  </si>
  <si>
    <t xml:space="preserve">Ross Mountain - Mount Diablo - Mount Tamalpais</t>
  </si>
  <si>
    <t xml:space="preserve">Snow Mountain West - Mount Helena - Ross Mountain</t>
  </si>
  <si>
    <t xml:space="preserve">Mount Sanhedrin - Snow Mountain West - Mount Helena</t>
  </si>
  <si>
    <t xml:space="preserve">Mount Sanhedrin - Snow Mountain West - Ross Mountain</t>
  </si>
  <si>
    <t xml:space="preserve">Mount Sanhedrin - Mount Helena - Ross Mountain</t>
  </si>
  <si>
    <t xml:space="preserve">Cold Spring - Mount Sanhedrin - Snow Mountain West</t>
  </si>
  <si>
    <t xml:space="preserve">Cold Spring - Mount Sanhedrin - Mount Helena</t>
  </si>
  <si>
    <t xml:space="preserve">Cold Spring - Snow Mountain West - Mount Helena</t>
  </si>
  <si>
    <t xml:space="preserve">Great Caspar - Mount Sanhedrin - Cold Spring</t>
  </si>
  <si>
    <t xml:space="preserve">Two Rock - Mount Sanhedrin - Cold Spring</t>
  </si>
  <si>
    <t xml:space="preserve">Two Rock - Cold Spring - Great Caspar</t>
  </si>
  <si>
    <t xml:space="preserve">Two Rock - Great Caspar - Mount Sanhedrin</t>
  </si>
  <si>
    <t xml:space="preserve">Paxton - Cold Spring - Great Caspar</t>
  </si>
  <si>
    <t xml:space="preserve">Paxton - Cold Spring - Two Rock</t>
  </si>
  <si>
    <t xml:space="preserve">Paxton - Cold Spring - Mount Sanhedrin</t>
  </si>
  <si>
    <t xml:space="preserve">Paxton - Great Caspar - Two Rock</t>
  </si>
  <si>
    <t xml:space="preserve">Paxton - Great Caspar - Mount Sanhedrin</t>
  </si>
  <si>
    <t xml:space="preserve">Paxton - Two Rock - Mount Sanhedrin</t>
  </si>
  <si>
    <t xml:space="preserve">Fisher - Great Caspar - Two Rock</t>
  </si>
  <si>
    <t xml:space="preserve">Fisher - Great Caspar - Paxton</t>
  </si>
  <si>
    <t xml:space="preserve">Fisher - Great Caspar - Cold Spring</t>
  </si>
  <si>
    <t xml:space="preserve">Fisher - Two Rock - Paxton</t>
  </si>
  <si>
    <t xml:space="preserve">Fisher - Two Rock - Cold Spring</t>
  </si>
  <si>
    <t xml:space="preserve">Fisher - Paxton - Cold Spring</t>
  </si>
  <si>
    <t xml:space="preserve">Trescott Rock - Howard - Cooper</t>
  </si>
  <si>
    <t xml:space="preserve">Grand Manan - Howard - Cooper</t>
  </si>
  <si>
    <t xml:space="preserve">Grand Manan - Howard - Trescott Rock</t>
  </si>
  <si>
    <t xml:space="preserve">Grand Manan - Trescott Rock - Cooper</t>
  </si>
  <si>
    <t xml:space="preserve">Prince Regents Redoubt - Grand Manan - Trescott Rock</t>
  </si>
  <si>
    <t xml:space="preserve">Prince Regents Redoubt - Trescott Rock - Cooper</t>
  </si>
  <si>
    <t xml:space="preserve">Prince Regents Redoubt - Grand Manan - Cooper</t>
  </si>
  <si>
    <t xml:space="preserve">Chamcook - Grand Manan - Cooper</t>
  </si>
  <si>
    <t xml:space="preserve">Chamcook - Grand Manan - Trescott Rock</t>
  </si>
  <si>
    <t xml:space="preserve">Chamcook - Trescott Rock - Cooper</t>
  </si>
  <si>
    <t xml:space="preserve">Chamcook - Grand Manan - Prince Regents Redoubt</t>
  </si>
  <si>
    <t xml:space="preserve">Chamcook - Prince Regents Redoubt - Trescott Rock</t>
  </si>
  <si>
    <t xml:space="preserve">Chamcook - Prince Regents Redoubt - Cooper</t>
  </si>
  <si>
    <t xml:space="preserve">Rye - Chamcook - Cooper</t>
  </si>
  <si>
    <t xml:space="preserve">St. David - Chamcook - Cooper</t>
  </si>
  <si>
    <t xml:space="preserve">St. David - Chamcook - Rye</t>
  </si>
  <si>
    <t xml:space="preserve">St. David - Cooper - Rye</t>
  </si>
  <si>
    <t xml:space="preserve">Calais Observatory - St. David - Chamcook</t>
  </si>
  <si>
    <t xml:space="preserve">Ragged Mountain - Humpback (Maine) - Mount Desert</t>
  </si>
  <si>
    <t xml:space="preserve">Mount Harris - Humpback (Maine) - Mount Desert</t>
  </si>
  <si>
    <t xml:space="preserve">Mount Harris - Mount Desert - Ragged Mountain</t>
  </si>
  <si>
    <t xml:space="preserve">Mount Harris - Humpback (Maine) - Ragged Mountain</t>
  </si>
  <si>
    <t xml:space="preserve">Mount Blue - Mount Harris - Ragged Mountain</t>
  </si>
  <si>
    <t xml:space="preserve">Sabattus - Mount Harris - Ragged Mountain</t>
  </si>
  <si>
    <t xml:space="preserve">Sabattus - Mount Blue - Mount Harris</t>
  </si>
  <si>
    <t xml:space="preserve">Sabattus - Mount Blue - Ragged Mountain</t>
  </si>
  <si>
    <t xml:space="preserve">Mount Pleasant - Mount Blue - Ragged Mountain</t>
  </si>
  <si>
    <t xml:space="preserve">Mount Pleasant - Mount Blue - Sabattus</t>
  </si>
  <si>
    <t xml:space="preserve">Mount Pleasant - Sabattus - Ragged Mountain</t>
  </si>
  <si>
    <t xml:space="preserve">Mount Independence - Mount Pleasant - Sabattus</t>
  </si>
  <si>
    <t xml:space="preserve">Mount Independence - Mount Blue - Sabattus</t>
  </si>
  <si>
    <t xml:space="preserve">Mount Independence - Mount Pleasant - Mount Blue</t>
  </si>
  <si>
    <t xml:space="preserve">Mount Washington - Mount Blue - Mount Pleasant</t>
  </si>
  <si>
    <t xml:space="preserve">Gunstock - Mount Pleasant - Mount Independence</t>
  </si>
  <si>
    <t xml:space="preserve">Mount Washington - Mount Pleasant - Gunstock</t>
  </si>
  <si>
    <t xml:space="preserve">Agamenticus - Gunstock - Mount Independence</t>
  </si>
  <si>
    <t xml:space="preserve">Agamenticus - Mount Pleasant - Mount Independence</t>
  </si>
  <si>
    <t xml:space="preserve">Agamenticus - Gunstock - Mount Pleasant</t>
  </si>
  <si>
    <t xml:space="preserve">Unkonoonuc - Gunstock - Agamenticus</t>
  </si>
  <si>
    <t xml:space="preserve">Thompson - Gunstock - Agamenticus</t>
  </si>
  <si>
    <t xml:space="preserve">Thompson - Unkonoonuc - Agamenticus</t>
  </si>
  <si>
    <t xml:space="preserve">Unkonoonuc - Gunstock - Thompson</t>
  </si>
  <si>
    <t xml:space="preserve">Monadnock - Gunstock - Unkonoonuc</t>
  </si>
  <si>
    <t xml:space="preserve">Wachusett - Gunstock - Thompson</t>
  </si>
  <si>
    <t xml:space="preserve">Wachusett - Unkonoonuc - Thompson</t>
  </si>
  <si>
    <t xml:space="preserve">Wachusett - Gunstock - Unkonoonuc</t>
  </si>
  <si>
    <t xml:space="preserve">Monadnock - Gunstock - Wachusett</t>
  </si>
  <si>
    <t xml:space="preserve">Wachusett - Monadnock - Unkonoonuc</t>
  </si>
  <si>
    <t xml:space="preserve">Blue Hill - Unkonoonuc - Thompson</t>
  </si>
  <si>
    <t xml:space="preserve">Blue Hill - Wachusett - Thompson</t>
  </si>
  <si>
    <t xml:space="preserve">Wachusett - Unkonoonuc - Blue Hill</t>
  </si>
  <si>
    <t xml:space="preserve">Beaconpole - Wachusett - Blue Hill</t>
  </si>
  <si>
    <t xml:space="preserve">Manomet - Blue Hill - Thompson</t>
  </si>
  <si>
    <t xml:space="preserve">Manomet - Beaconpole - Blue Hill</t>
  </si>
  <si>
    <t xml:space="preserve">Copecut - Beaconpole - Manomet</t>
  </si>
  <si>
    <t xml:space="preserve">Copecut - Beaconpole - Blue Hill</t>
  </si>
  <si>
    <t xml:space="preserve">Copecut - Blue Hill - Manomet</t>
  </si>
  <si>
    <t xml:space="preserve">Great Meadow - Beaconpole - Blue Hill</t>
  </si>
  <si>
    <t xml:space="preserve">Great Meadow - Blue Hill - Copecut</t>
  </si>
  <si>
    <t xml:space="preserve">Great Meadow - Copecut - Beaconpole</t>
  </si>
  <si>
    <t xml:space="preserve">Massachusetts North Base - Great Meadow - Beaconpole</t>
  </si>
  <si>
    <t xml:space="preserve">Massachusetts South Base - Beaconpole - Massachusetts North Base</t>
  </si>
  <si>
    <t xml:space="preserve">Mount Tom - Monadnock - Wachusett</t>
  </si>
  <si>
    <t xml:space="preserve">Bald Hill (Tolland Co.) - Monadnock - Wachusett</t>
  </si>
  <si>
    <t xml:space="preserve">Mount Tom - Monadnock - Bald Hill (Tolland Co.)</t>
  </si>
  <si>
    <t xml:space="preserve">Bald Hill (Tolland Co.) - Mount Tom - Wachusett</t>
  </si>
  <si>
    <t xml:space="preserve">Box Hill - Mount Tom - Bald Hill (Tolland Co.)</t>
  </si>
  <si>
    <t xml:space="preserve">Ivy - Bald Hill (Tolland Co.) - Box Hill</t>
  </si>
  <si>
    <t xml:space="preserve">Sandford - Mount Tom - Box Hill</t>
  </si>
  <si>
    <t xml:space="preserve">Sandford - Ivy - Box Hill</t>
  </si>
  <si>
    <t xml:space="preserve">Wooster - Ivy - Sandford</t>
  </si>
  <si>
    <t xml:space="preserve">Round Hill - Bald Hill (Fairfield Co.) - West Hills</t>
  </si>
  <si>
    <t xml:space="preserve">Harrow - Bald Hill (Fairfield Co.) - West Hills</t>
  </si>
  <si>
    <t xml:space="preserve">Harrow - Round Hill - West Hills</t>
  </si>
  <si>
    <t xml:space="preserve">Harrow - Round Hill - Bald Hill (Fairfield Co.)</t>
  </si>
  <si>
    <t xml:space="preserve">Buttermilk - Round Hill - Harrow</t>
  </si>
  <si>
    <t xml:space="preserve">Weasel - Buttermilk - Harrow</t>
  </si>
  <si>
    <t xml:space="preserve">Beacon Hill - Weasel - Harrow</t>
  </si>
  <si>
    <t xml:space="preserve">Springfield - Harrow - Beacon Hill</t>
  </si>
  <si>
    <t xml:space="preserve">Mount Rose - Springfield - Beacon Hill</t>
  </si>
  <si>
    <t xml:space="preserve">Disboro - Springfield - Beacon Hill</t>
  </si>
  <si>
    <t xml:space="preserve">Disboro - Mount Rose - Beacon Hill</t>
  </si>
  <si>
    <t xml:space="preserve">Disboro - Mount Rose - Springfield</t>
  </si>
  <si>
    <t xml:space="preserve">Stony Hill - Mount Rose - Disboro</t>
  </si>
  <si>
    <t xml:space="preserve">Mount Holly - Mount Rose - Stony Hill</t>
  </si>
  <si>
    <t xml:space="preserve">Newtown - Stony Hill - Mount Holly</t>
  </si>
  <si>
    <t xml:space="preserve">Newtown - Mount Rose - Mount Holly</t>
  </si>
  <si>
    <t xml:space="preserve">Newtown - Mount Rose - Stony Hill</t>
  </si>
  <si>
    <t xml:space="preserve">Willowgrove - Newtown - Mount Holly</t>
  </si>
  <si>
    <t xml:space="preserve">Pine Hill - Willowgrove - Mount Holly</t>
  </si>
  <si>
    <t xml:space="preserve">Yard - Mount Holly - Pine Hill</t>
  </si>
  <si>
    <t xml:space="preserve">Lippincott - Yard - Pine Hill</t>
  </si>
  <si>
    <t xml:space="preserve">Bethel - Pine Hill - Lippincott</t>
  </si>
  <si>
    <t xml:space="preserve">Bethel - Yard - Lippincott</t>
  </si>
  <si>
    <t xml:space="preserve">Bethel - Yard - Pine Hill</t>
  </si>
  <si>
    <t xml:space="preserve">Burden - Bethel - Lippincott</t>
  </si>
  <si>
    <t xml:space="preserve">Meetinghouse Hill - Lippincott - Burden</t>
  </si>
  <si>
    <t xml:space="preserve">Buck - Meetinghouse Hill - Burden</t>
  </si>
  <si>
    <t xml:space="preserve">Principio - Meetinghouse Hill - Buck</t>
  </si>
  <si>
    <t xml:space="preserve">Turkey Point - Principio - Buck</t>
  </si>
  <si>
    <t xml:space="preserve">Osbornes Ruin - Principio - Turkey Point</t>
  </si>
  <si>
    <t xml:space="preserve">Long Mountain - Humpback - Spear</t>
  </si>
  <si>
    <t xml:space="preserve">Tobacco Row - Humpback - Long Mountain</t>
  </si>
  <si>
    <t xml:space="preserve">Long Mountain - Tobacco Row - Spear</t>
  </si>
  <si>
    <t xml:space="preserve">Flat Top - Tobacco Row - Spear</t>
  </si>
  <si>
    <t xml:space="preserve">Flat Top - Spear - Long Mountain</t>
  </si>
  <si>
    <t xml:space="preserve">Flat Top - Tobacco Row - Long Mountain</t>
  </si>
  <si>
    <t xml:space="preserve">Smith Mountain - Tobacco Row - Spear</t>
  </si>
  <si>
    <t xml:space="preserve">Smith Mountain - Spear - Long Mountain</t>
  </si>
  <si>
    <t xml:space="preserve">Smith Mountain - Flat Top - Tobacco Row</t>
  </si>
  <si>
    <t xml:space="preserve">Smith Mountain - Tobacco Row - Long Mountain</t>
  </si>
  <si>
    <t xml:space="preserve">Smith Mountain - Flat Top - Spear</t>
  </si>
  <si>
    <t xml:space="preserve">Smith Mountain - Flat Top - Long Mountain</t>
  </si>
  <si>
    <t xml:space="preserve">Cahas - Flat Top - Tobacco Row</t>
  </si>
  <si>
    <t xml:space="preserve">Cahas - Tobacco Row - Long Mountain</t>
  </si>
  <si>
    <t xml:space="preserve">Cahas - Flat Top - Long Mountain</t>
  </si>
  <si>
    <t xml:space="preserve">Cahas - Flat Top - Smith Mountain</t>
  </si>
  <si>
    <t xml:space="preserve">Cahas - Long Mountain - Smith Mountain</t>
  </si>
  <si>
    <t xml:space="preserve">Cahas - Tobacco Row - Smith Mountain</t>
  </si>
  <si>
    <t xml:space="preserve">Buffalo - Flat Top - Smith Mountain</t>
  </si>
  <si>
    <t xml:space="preserve">Buffalo - Flat Top - Cahas</t>
  </si>
  <si>
    <t xml:space="preserve">Buffalo - Cahas - Smith Mountain</t>
  </si>
  <si>
    <t xml:space="preserve">Moore - Flat Top - Smith Mountain</t>
  </si>
  <si>
    <t xml:space="preserve">Moore - Cahas - Flat Top</t>
  </si>
  <si>
    <t xml:space="preserve">Moore - Cahas - Smith Mountain</t>
  </si>
  <si>
    <t xml:space="preserve">Poore - Buffalo - Moore</t>
  </si>
  <si>
    <t xml:space="preserve">Young - Buffalo - Moore</t>
  </si>
  <si>
    <t xml:space="preserve">Poore - Buffalo - Young</t>
  </si>
  <si>
    <t xml:space="preserve">Poore - Moore - Young</t>
  </si>
  <si>
    <t xml:space="preserve">Rogers - Buffalo - Poore</t>
  </si>
  <si>
    <t xml:space="preserve">Roan High Bluff - Rogers - Poore</t>
  </si>
  <si>
    <t xml:space="preserve">Benn - Roan High Bluff - Poore</t>
  </si>
  <si>
    <t xml:space="preserve">King - Poore - Young</t>
  </si>
  <si>
    <t xml:space="preserve">Benn - Poore - Young</t>
  </si>
  <si>
    <t xml:space="preserve">Benn - Poore - King</t>
  </si>
  <si>
    <t xml:space="preserve">Benn - Young - King</t>
  </si>
  <si>
    <t xml:space="preserve">Wofford - Benn - King</t>
  </si>
  <si>
    <t xml:space="preserve">Hogback - Benn - King</t>
  </si>
  <si>
    <t xml:space="preserve">Paris - Benn - King</t>
  </si>
  <si>
    <t xml:space="preserve">Wofford - Hogback - King</t>
  </si>
  <si>
    <t xml:space="preserve">Hogback - Benn - Wofford</t>
  </si>
  <si>
    <t xml:space="preserve">Paris - King - Wofford</t>
  </si>
  <si>
    <t xml:space="preserve">Paris - Hogback - Benn</t>
  </si>
  <si>
    <t xml:space="preserve">Paris - Hogback - King</t>
  </si>
  <si>
    <t xml:space="preserve">Paris - Benn - Wofford</t>
  </si>
  <si>
    <t xml:space="preserve">Paris - Hogback - Wofford</t>
  </si>
  <si>
    <t xml:space="preserve">Pinnacle - Hogback - Paris</t>
  </si>
  <si>
    <t xml:space="preserve">Pinnacle - Hogback - Wofford</t>
  </si>
  <si>
    <t xml:space="preserve">Pinnacle - Wofford - Paris</t>
  </si>
  <si>
    <t xml:space="preserve">Mauldin - Hogback - Paris</t>
  </si>
  <si>
    <t xml:space="preserve">Mauldin - Pinnacle - Hogback</t>
  </si>
  <si>
    <t xml:space="preserve">Mauldin - Pinnacle - Paris</t>
  </si>
  <si>
    <t xml:space="preserve">Rabun - Pinnacle - Paris</t>
  </si>
  <si>
    <t xml:space="preserve">Rabun - Paris - Mauldin</t>
  </si>
  <si>
    <t xml:space="preserve">Rabun - Pinnacle - Mauldin</t>
  </si>
  <si>
    <t xml:space="preserve">Currahee - Pinnacle - Paris</t>
  </si>
  <si>
    <t xml:space="preserve">Currahee - Pinnacle - Mauldin</t>
  </si>
  <si>
    <t xml:space="preserve">Currahee - Paris - Mauldin</t>
  </si>
  <si>
    <t xml:space="preserve">Currahee - Rabun - Pinnacle</t>
  </si>
  <si>
    <t xml:space="preserve">Currahee - Rabun - Paris</t>
  </si>
  <si>
    <t xml:space="preserve">Currahee - Rabun - Mauldin</t>
  </si>
  <si>
    <t xml:space="preserve">Blood - Rabun - Currahee</t>
  </si>
  <si>
    <t xml:space="preserve">Skitt - Rabun - Currahee</t>
  </si>
  <si>
    <t xml:space="preserve">Blood - Rabun - Skitt</t>
  </si>
  <si>
    <t xml:space="preserve">Skitt - Blood - Currahee</t>
  </si>
  <si>
    <t xml:space="preserve">Sawnee - Blood - Currahee</t>
  </si>
  <si>
    <t xml:space="preserve">Sawnee - Skitt - Currahee</t>
  </si>
  <si>
    <t xml:space="preserve">Sawnee - Blood - Skitt</t>
  </si>
  <si>
    <t xml:space="preserve">Grassy - Blood - Skitt</t>
  </si>
  <si>
    <t xml:space="preserve">Grassy - Skitt - Sawnee</t>
  </si>
  <si>
    <t xml:space="preserve">Grassy - Blood - Sawnee</t>
  </si>
  <si>
    <t xml:space="preserve">Carnes - Pine Log - Kenesaw</t>
  </si>
  <si>
    <t xml:space="preserve">Carnes - Pine Log - Sweat Mountain</t>
  </si>
  <si>
    <t xml:space="preserve">Carnes - Sweat Mountain - Kenesaw</t>
  </si>
  <si>
    <t xml:space="preserve">Lavender - Pine Log - Kenesaw</t>
  </si>
  <si>
    <t xml:space="preserve">Lavender - Kenesaw - Carnes</t>
  </si>
  <si>
    <t xml:space="preserve">Lavender - Pine Log - Carnes</t>
  </si>
  <si>
    <t xml:space="preserve">Johns - Grassy - Pine Log</t>
  </si>
  <si>
    <t xml:space="preserve">Lavender - Johns - Pine Log</t>
  </si>
  <si>
    <t xml:space="preserve">Indian - Lavender - Pine Log</t>
  </si>
  <si>
    <t xml:space="preserve">Indian - Johns - Pine Log</t>
  </si>
  <si>
    <t xml:space="preserve">Lavender - Johns - Indian</t>
  </si>
  <si>
    <t xml:space="preserve">Indian - Pine Log - Carnes</t>
  </si>
  <si>
    <t xml:space="preserve">Indian - Lavender - Carnes</t>
  </si>
  <si>
    <t xml:space="preserve">Gulf Point - Johns - Pine Log</t>
  </si>
  <si>
    <t xml:space="preserve">Gulf Point - Pine Log - Lavender</t>
  </si>
  <si>
    <t xml:space="preserve">Gulf Point - Johns - Lavender</t>
  </si>
  <si>
    <t xml:space="preserve">Gulf Point - Pine Log - Indian</t>
  </si>
  <si>
    <t xml:space="preserve">Gulf Point - Lavender - Indian</t>
  </si>
  <si>
    <t xml:space="preserve">Gulf Point - Johns - Indian</t>
  </si>
  <si>
    <t xml:space="preserve">Brandon - Lavender - Indian</t>
  </si>
  <si>
    <t xml:space="preserve">Brandon - Gulf Point - Lavender</t>
  </si>
  <si>
    <t xml:space="preserve">Brandon - Gulf Point - Indian</t>
  </si>
  <si>
    <t xml:space="preserve">Indian - Pine Log - Kenesaw</t>
  </si>
  <si>
    <t xml:space="preserve">Indian - Lavender - Kenesaw</t>
  </si>
  <si>
    <t xml:space="preserve">Carnes - Indian - Kenesaw</t>
  </si>
  <si>
    <t xml:space="preserve">Aurora - Brandon - Indian</t>
  </si>
  <si>
    <t xml:space="preserve">Gunter - Gulf Point - Brandon</t>
  </si>
  <si>
    <t xml:space="preserve">Gunter - Brandon - Aurora</t>
  </si>
  <si>
    <t xml:space="preserve">Summit - Gunter - Aurora</t>
  </si>
  <si>
    <t xml:space="preserve">Rowe - Gunter - Aurora</t>
  </si>
  <si>
    <t xml:space="preserve">Rowe - Gunter - Summit</t>
  </si>
  <si>
    <t xml:space="preserve">Summit - Rowe - Aurora</t>
  </si>
  <si>
    <t xml:space="preserve">Wilson - Rowe - Summit</t>
  </si>
  <si>
    <t xml:space="preserve">Wornock - Rowe - Summit</t>
  </si>
  <si>
    <t xml:space="preserve">Wornock - Wilson - Summit</t>
  </si>
  <si>
    <t xml:space="preserve">Wilson - Rowe - Wornock</t>
  </si>
  <si>
    <t xml:space="preserve">Wornock - Rowe - Aurora</t>
  </si>
  <si>
    <t xml:space="preserve">Wornock - Summit - Aurora</t>
  </si>
  <si>
    <t xml:space="preserve">Cheehahaw - Aurora - Indian</t>
  </si>
  <si>
    <t xml:space="preserve">Cahaba - Aurora - Cheehahaw</t>
  </si>
  <si>
    <t xml:space="preserve">Cahaba - Wornock - Aurora</t>
  </si>
  <si>
    <t xml:space="preserve">Alpine - Cahaba - Cheehahaw</t>
  </si>
  <si>
    <t xml:space="preserve">Horn - Alpine - Cheehahaw</t>
  </si>
  <si>
    <t xml:space="preserve">Laurel - Cahaba - Alpine</t>
  </si>
  <si>
    <t xml:space="preserve">Horn - Laurel - Alpine</t>
  </si>
  <si>
    <t xml:space="preserve">Kahatchee - Laurel - Alpine</t>
  </si>
  <si>
    <t xml:space="preserve">Kahatchee - Alpine - Horn</t>
  </si>
  <si>
    <t xml:space="preserve">Kahatchee - Laurel - Horn</t>
  </si>
  <si>
    <t xml:space="preserve">Weogufka - Laurel - Horn</t>
  </si>
  <si>
    <t xml:space="preserve">Weogufka - Kahatchee - Horn</t>
  </si>
  <si>
    <t xml:space="preserve">Weogufka - Laurel - Kahatchee</t>
  </si>
  <si>
    <t xml:space="preserve">Jamison - Laurel - Kahatchee</t>
  </si>
  <si>
    <t xml:space="preserve">Jamison - Kahatchee - Weogufka</t>
  </si>
  <si>
    <t xml:space="preserve">Jamison - Laurel - Weogufka</t>
  </si>
  <si>
    <t xml:space="preserve">Wilder - Jamison - Weogufka</t>
  </si>
  <si>
    <t xml:space="preserve">Wetumpka - Wilder - Weogufka</t>
  </si>
  <si>
    <t xml:space="preserve">Perry - Jamison - Wilder</t>
  </si>
  <si>
    <t xml:space="preserve">Parker - Perry - Wilder</t>
  </si>
  <si>
    <t xml:space="preserve">Lowndesboro - Wilder - Wetumpka</t>
  </si>
  <si>
    <t xml:space="preserve">Lowndesboro - Parker - Wilder</t>
  </si>
  <si>
    <t xml:space="preserve">Lovers Leap - Parker - Wilder</t>
  </si>
  <si>
    <t xml:space="preserve">Lovers Leap - Parker - Lowndesboro</t>
  </si>
  <si>
    <t xml:space="preserve">Lowndesboro - Lovers Leap - Wilder</t>
  </si>
  <si>
    <t xml:space="preserve">Mount Carmel - Lowndesboro - Wetumpka</t>
  </si>
  <si>
    <t xml:space="preserve">Bargenier - Lowndesboro - Mount Carmel</t>
  </si>
  <si>
    <t xml:space="preserve">Lovers Leap - Lowndesboro - Mount Carmel</t>
  </si>
  <si>
    <t xml:space="preserve">Lovers Leap - Lowndesboro - Bargenier</t>
  </si>
  <si>
    <t xml:space="preserve">Bargenier - Lovers Leap - Mount Carmel</t>
  </si>
  <si>
    <t xml:space="preserve">County Line - Lovers Leap - Bargenier</t>
  </si>
  <si>
    <t xml:space="preserve">County Line - Lovers Leap - Lowndesboro</t>
  </si>
  <si>
    <t xml:space="preserve">County Line - Lowndesboro - Bargenier</t>
  </si>
  <si>
    <t xml:space="preserve">Ethridge - Lovers Leap - County Line</t>
  </si>
  <si>
    <t xml:space="preserve">Fatama - Lovers Leap - County Line</t>
  </si>
  <si>
    <t xml:space="preserve">Fatama - Ethridge - County Line</t>
  </si>
  <si>
    <t xml:space="preserve">Ethridge - Lovers Leap - Fatama</t>
  </si>
  <si>
    <t xml:space="preserve">Midway - Fatama - County Line</t>
  </si>
  <si>
    <t xml:space="preserve">Midway - Fatama - Lovers Leap</t>
  </si>
  <si>
    <t xml:space="preserve">County Line - Midway - Lovers Leap</t>
  </si>
  <si>
    <t xml:space="preserve">Pollard - Fatama - Midway</t>
  </si>
  <si>
    <t xml:space="preserve">Creagh - Fatama - Midway</t>
  </si>
  <si>
    <t xml:space="preserve">Creagh - Fatama - Pollard</t>
  </si>
  <si>
    <t xml:space="preserve">Pollard - Creagh - Midway</t>
  </si>
  <si>
    <t xml:space="preserve">White - Creagh - Pollard</t>
  </si>
  <si>
    <t xml:space="preserve">Red Hill - Creagh - Pollard</t>
  </si>
  <si>
    <t xml:space="preserve">Red Hill - White - Pollard</t>
  </si>
  <si>
    <t xml:space="preserve">White - Creagh - Red Hill</t>
  </si>
  <si>
    <t xml:space="preserve">Coon - White - Red Hill</t>
  </si>
  <si>
    <t xml:space="preserve">Dean - White - Red Hill</t>
  </si>
  <si>
    <t xml:space="preserve">Dean - Coon - Red Hill</t>
  </si>
  <si>
    <t xml:space="preserve">Coon - White - Dean</t>
  </si>
  <si>
    <t xml:space="preserve">Cold Creek - Coon - Dean</t>
  </si>
  <si>
    <t xml:space="preserve">Cold Creek - Coon - Red Hill</t>
  </si>
  <si>
    <t xml:space="preserve">Dean - Cold Creek - Red Hill</t>
  </si>
  <si>
    <t xml:space="preserve">Minette - Cold Creek - Dean</t>
  </si>
  <si>
    <t xml:space="preserve">Minette - Coon - Dean</t>
  </si>
  <si>
    <t xml:space="preserve">Cold Creek - Coon - Minette</t>
  </si>
  <si>
    <t xml:space="preserve">Spring Hill - Cold Creek - Minette</t>
  </si>
  <si>
    <t xml:space="preserve">Daphne - Cold Creek - Minette</t>
  </si>
  <si>
    <t xml:space="preserve">Daphne - Spring Hill - Minette</t>
  </si>
  <si>
    <t xml:space="preserve">Spring Hill - Cold Creek - Daphne</t>
  </si>
  <si>
    <t xml:space="preserve">St. Elmo - Spring Hill - Daphne</t>
  </si>
  <si>
    <t xml:space="preserve">Fort Morgan - Spring Hill - Daphne</t>
  </si>
  <si>
    <t xml:space="preserve">Fort Morgan - St. Elmo - Daphne</t>
  </si>
  <si>
    <t xml:space="preserve">Fort Morgan - St. Elmo - Spring Hill</t>
  </si>
  <si>
    <t xml:space="preserve">Dauphin Island East Base - St. Elmo - Fort Morgan</t>
  </si>
  <si>
    <t xml:space="preserve">Dauphin Island West Base - St. Elmo - Fort Morgan</t>
  </si>
  <si>
    <t xml:space="preserve">Dauphin Island West Base - St. Elmo - Dauphin Island East Base</t>
  </si>
  <si>
    <t xml:space="preserve">Dauphin Island East Base - Fort Morgan - Dauphin Island West Base</t>
  </si>
  <si>
    <t xml:space="preserve">Dauphin Island East Base - St. Elmo - Daphne</t>
  </si>
  <si>
    <t xml:space="preserve">Dauphin Island East Base - Daphne - Fort Morgan</t>
  </si>
  <si>
    <t xml:space="preserve">Whole-chain sums over non-overlapping triangles (Appendix B)</t>
  </si>
  <si>
    <t xml:space="preserve">Chain</t>
  </si>
  <si>
    <t xml:space="preserve">Area (km²)</t>
  </si>
  <si>
    <t xml:space="preserve">Σ excess observed (″)</t>
  </si>
  <si>
    <t xml:space="preserve">Σ expected (″)</t>
  </si>
  <si>
    <t xml:space="preserve">Noise σ√n (″)</t>
  </si>
  <si>
    <t xml:space="preserve">K/K ellipsoid</t>
  </si>
  <si>
    <t xml:space="preserve">Shortfall per triangle (″)</t>
  </si>
  <si>
    <t xml:space="preserve">Core three combined</t>
  </si>
  <si>
    <t xml:space="preserve">KML entries checked against the printed tables (Schott 1900, 1902)</t>
  </si>
  <si>
    <t xml:space="preserve">Pages read entry by entry</t>
  </si>
  <si>
    <t xml:space="preserve">Report</t>
  </si>
  <si>
    <t xml:space="preserve">Printed page</t>
  </si>
  <si>
    <t xml:space="preserve">PDF page</t>
  </si>
  <si>
    <t xml:space="preserve">Triangles on page</t>
  </si>
  <si>
    <t xml:space="preserve">Angles</t>
  </si>
  <si>
    <t xml:space="preserve">All match KML</t>
  </si>
  <si>
    <t xml:space="preserve">Schott 1900</t>
  </si>
  <si>
    <t xml:space="preserve">Yes</t>
  </si>
  <si>
    <t xml:space="preserve">Schott 1902</t>
  </si>
  <si>
    <t xml:space="preserve">Total</t>
  </si>
  <si>
    <t xml:space="preserve">Three printed misprints, corrected from the printed sides by the law of cosines</t>
  </si>
  <si>
    <t xml:space="preserve">Source</t>
  </si>
  <si>
    <t xml:space="preserve">Station with misprint</t>
  </si>
  <si>
    <t xml:space="preserve">Printed angle (°)</t>
  </si>
  <si>
    <t xml:space="preserve">Side opposite it (m)</t>
  </si>
  <si>
    <t xml:space="preserve">Other side b (m)</t>
  </si>
  <si>
    <t xml:space="preserve">Other side c (m)</t>
  </si>
  <si>
    <t xml:space="preserve">Angle from sides (°)</t>
  </si>
  <si>
    <t xml:space="preserve">Corrected angle (°)</t>
  </si>
  <si>
    <t xml:space="preserve">Mount Nebo – Wheeler Peak – Ibepah</t>
  </si>
  <si>
    <t xml:space="preserve">Schott 1900 p. 591 no. 33</t>
  </si>
  <si>
    <t xml:space="preserve">Ibepah</t>
  </si>
  <si>
    <t xml:space="preserve">10 09 30.489</t>
  </si>
  <si>
    <t xml:space="preserve">110 09 30.489</t>
  </si>
  <si>
    <t xml:space="preserve">Cherry Ridge – Twin Creek – Round Top</t>
  </si>
  <si>
    <t xml:space="preserve">Schott 1900 p. 414 no. 25</t>
  </si>
  <si>
    <t xml:space="preserve">Cherry Ridge</t>
  </si>
  <si>
    <t xml:space="preserve">20 10 13.41</t>
  </si>
  <si>
    <t xml:space="preserve">28 10 13.41</t>
  </si>
  <si>
    <t xml:space="preserve">Gunstock – Mount Pleasant – Mount Independence</t>
  </si>
  <si>
    <t xml:space="preserve">Schott 1902 p. 131 no. 16</t>
  </si>
  <si>
    <t xml:space="preserve">Mount Pleasant</t>
  </si>
  <si>
    <t xml:space="preserve">19 54 04.38</t>
  </si>
  <si>
    <t xml:space="preserve">91 54 04.38</t>
  </si>
  <si>
    <t xml:space="preserve">Sides are the printed "Distances in metres" for each triangle. The angle from sides matches the corrected degrees to within the rounding of the printed sides.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</si>
</sst>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000"/>
    <numFmt numFmtId="166" formatCode="0.0000"/>
    <numFmt numFmtId="167" formatCode="0.00"/>
    <numFmt numFmtId="168" formatCode="#,##0"/>
    <numFmt numFmtId="169" formatCode="0.000"/>
    <numFmt numFmtId="170" formatCode="#,##0.0"/>
    <numFmt numFmtId="171" formatCode="0.0"/>
    <numFmt numFmtId="172" formatCode="\+0.00;\-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A565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A5FA8"/>
        <bgColor rgb="FF3366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5FA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565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3" t="s">
        <v>1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4" t="s">
        <v>2</v>
      </c>
      <c r="B4" s="5" t="n">
        <v>6371000</v>
      </c>
      <c r="C4" s="6" t="s">
        <v>3</v>
      </c>
    </row>
    <row r="5" customFormat="false" ht="15" hidden="false" customHeight="false" outlineLevel="0" collapsed="false">
      <c r="A5" s="4" t="s">
        <v>4</v>
      </c>
      <c r="B5" s="5" t="n">
        <v>206264.806247</v>
      </c>
      <c r="C5" s="6" t="s">
        <v>5</v>
      </c>
    </row>
    <row r="6" customFormat="false" ht="15" hidden="false" customHeight="false" outlineLevel="0" collapsed="false">
      <c r="A6" s="4" t="s">
        <v>6</v>
      </c>
      <c r="B6" s="7" t="n">
        <v>2</v>
      </c>
      <c r="C6" s="6" t="s">
        <v>7</v>
      </c>
    </row>
    <row r="7" customFormat="false" ht="15" hidden="false" customHeight="false" outlineLevel="0" collapsed="false">
      <c r="A7" s="4" t="s">
        <v>8</v>
      </c>
      <c r="B7" s="7" t="n">
        <v>1</v>
      </c>
      <c r="C7" s="6" t="s">
        <v>9</v>
      </c>
    </row>
    <row r="8" customFormat="false" ht="15" hidden="false" customHeight="false" outlineLevel="0" collapsed="false">
      <c r="A8" s="4" t="s">
        <v>10</v>
      </c>
      <c r="B8" s="7" t="n">
        <v>0.5</v>
      </c>
      <c r="C8" s="6" t="s">
        <v>11</v>
      </c>
    </row>
    <row r="9" customFormat="false" ht="15" hidden="false" customHeight="false" outlineLevel="0" collapsed="false">
      <c r="A9" s="4" t="s">
        <v>12</v>
      </c>
      <c r="B9" s="7" t="n">
        <v>0.25</v>
      </c>
      <c r="C9" s="6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6" min="5" style="0" width="10"/>
  </cols>
  <sheetData>
    <row r="1" customFormat="false" ht="16.15" hidden="false" customHeight="false" outlineLevel="0" collapsed="false">
      <c r="A1" s="1" t="s">
        <v>14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15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4" t="s">
        <v>16</v>
      </c>
      <c r="B4" s="4" t="n">
        <f aca="false">SUM(Triangles!$K$2:$K$1006)</f>
        <v>391</v>
      </c>
      <c r="C4" s="6"/>
      <c r="D4" s="2"/>
      <c r="E4" s="2"/>
      <c r="F4" s="2"/>
    </row>
    <row r="5" customFormat="false" ht="15" hidden="false" customHeight="false" outlineLevel="0" collapsed="false">
      <c r="A5" s="4" t="s">
        <v>17</v>
      </c>
      <c r="B5" s="4" t="n">
        <f aca="false">SUMPRODUCT(Triangles!$P$2:$P$1006,Triangles!$D$2:$D$1006,Triangles!$E$2:$E$1006)</f>
        <v>10198080.6393022</v>
      </c>
      <c r="C5" s="6"/>
      <c r="D5" s="2"/>
      <c r="E5" s="2"/>
      <c r="F5" s="2"/>
    </row>
    <row r="6" customFormat="false" ht="15" hidden="false" customHeight="false" outlineLevel="0" collapsed="false">
      <c r="A6" s="4" t="s">
        <v>18</v>
      </c>
      <c r="B6" s="4" t="n">
        <f aca="false">SUMPRODUCT(Triangles!$P$2:$P$1006,Triangles!$D$2:$D$1006,Triangles!$D$2:$D$1006)</f>
        <v>2017958427.19964</v>
      </c>
      <c r="C6" s="6"/>
      <c r="D6" s="2"/>
      <c r="E6" s="2"/>
      <c r="F6" s="2"/>
    </row>
    <row r="7" customFormat="false" ht="15" hidden="false" customHeight="false" outlineLevel="0" collapsed="false">
      <c r="A7" s="4" t="s">
        <v>19</v>
      </c>
      <c r="B7" s="8" t="n">
        <f aca="false">B5/B6</f>
        <v>0.00505366240545118</v>
      </c>
      <c r="C7" s="6"/>
      <c r="D7" s="2"/>
      <c r="E7" s="2"/>
      <c r="F7" s="2"/>
    </row>
    <row r="8" customFormat="false" ht="15" hidden="false" customHeight="false" outlineLevel="0" collapsed="false">
      <c r="A8" s="4" t="s">
        <v>20</v>
      </c>
      <c r="B8" s="8" t="n">
        <f aca="false">SUMPRODUCT(Triangles!$P$2:$P$1006,Triangles!$D$2:$D$1006,Triangles!$F$2:$F$1006,Triangles!$D$2:$D$1006)/B6</f>
        <v>0.00507747606603828</v>
      </c>
      <c r="C8" s="6"/>
      <c r="D8" s="2"/>
      <c r="E8" s="2"/>
      <c r="F8" s="2"/>
    </row>
    <row r="9" customFormat="false" ht="15" hidden="false" customHeight="false" outlineLevel="0" collapsed="false">
      <c r="A9" s="9" t="s">
        <v>21</v>
      </c>
      <c r="B9" s="10" t="n">
        <f aca="false">B7/B8</f>
        <v>0.99530994134145</v>
      </c>
      <c r="C9" s="6" t="s">
        <v>22</v>
      </c>
      <c r="D9" s="2"/>
      <c r="E9" s="2"/>
      <c r="F9" s="2"/>
    </row>
    <row r="10" customFormat="false" ht="15" hidden="false" customHeight="false" outlineLevel="0" collapsed="false">
      <c r="A10" s="4" t="s">
        <v>23</v>
      </c>
      <c r="B10" s="4" t="n">
        <f aca="false">SUMPRODUCT(Triangles!$P$2:$P$1006,Triangles!$P$2:$P$1006,Triangles!$D$2:$D$1006,Triangles!$D$2:$D$1006,Triangles!$G$2:$G$1006,Triangles!$G$2:$G$1006)/B6^2</f>
        <v>4.95355312855653E-010</v>
      </c>
      <c r="C10" s="6"/>
      <c r="D10" s="2"/>
      <c r="E10" s="2"/>
      <c r="F10" s="2"/>
    </row>
    <row r="11" customFormat="false" ht="15" hidden="false" customHeight="false" outlineLevel="0" collapsed="false">
      <c r="A11" s="4" t="s">
        <v>24</v>
      </c>
      <c r="B11" s="11" t="n">
        <f aca="false">SUM(Triangles!$Q$2:$Q$1006)/(B4-1)</f>
        <v>1.19665736622875</v>
      </c>
      <c r="C11" s="6"/>
      <c r="D11" s="2"/>
      <c r="E11" s="2"/>
      <c r="F11" s="2"/>
    </row>
    <row r="12" customFormat="false" ht="15" hidden="false" customHeight="false" outlineLevel="0" collapsed="false">
      <c r="A12" s="4" t="s">
        <v>25</v>
      </c>
      <c r="B12" s="4" t="n">
        <f aca="false">SQRT(B10)*MAX(1,SQRT(B11))</f>
        <v>2.43468803757127E-005</v>
      </c>
      <c r="C12" s="6"/>
      <c r="D12" s="2"/>
      <c r="E12" s="2"/>
      <c r="F12" s="2"/>
    </row>
    <row r="13" customFormat="false" ht="15" hidden="false" customHeight="false" outlineLevel="0" collapsed="false">
      <c r="A13" s="9" t="s">
        <v>26</v>
      </c>
      <c r="B13" s="10" t="n">
        <f aca="false">B12/B8</f>
        <v>0.00479507536009116</v>
      </c>
      <c r="C13" s="6" t="s">
        <v>22</v>
      </c>
      <c r="D13" s="2"/>
      <c r="E13" s="2"/>
      <c r="F13" s="2"/>
    </row>
    <row r="14" customFormat="false" ht="15" hidden="false" customHeight="false" outlineLevel="0" collapsed="false">
      <c r="A14" s="4" t="s">
        <v>27</v>
      </c>
      <c r="B14" s="11" t="n">
        <f aca="false">(B9-1)/B13</f>
        <v>-0.978099050868966</v>
      </c>
      <c r="C14" s="6"/>
      <c r="D14" s="2"/>
      <c r="E14" s="2"/>
      <c r="F14" s="2"/>
    </row>
    <row r="15" customFormat="false" ht="15" hidden="false" customHeight="false" outlineLevel="0" collapsed="false">
      <c r="A15" s="9" t="s">
        <v>28</v>
      </c>
      <c r="B15" s="10" t="n">
        <f aca="false">B7/Inputs!$B$5/1000000*100000000000000</f>
        <v>2.4500846738728</v>
      </c>
      <c r="C15" s="6" t="s">
        <v>22</v>
      </c>
      <c r="D15" s="2"/>
      <c r="E15" s="2"/>
      <c r="F15" s="2"/>
    </row>
    <row r="16" customFormat="false" ht="15" hidden="false" customHeight="false" outlineLevel="0" collapsed="false">
      <c r="A16" s="4" t="s">
        <v>29</v>
      </c>
      <c r="B16" s="12" t="n">
        <f aca="false">B12/Inputs!$B$5/1000000*100000000000000</f>
        <v>0.0118037006984883</v>
      </c>
      <c r="C16" s="6"/>
      <c r="D16" s="2"/>
      <c r="E16" s="2"/>
      <c r="F16" s="2"/>
    </row>
    <row r="17" customFormat="false" ht="15" hidden="false" customHeight="false" outlineLevel="0" collapsed="false">
      <c r="A17" s="9" t="s">
        <v>30</v>
      </c>
      <c r="B17" s="13" t="n">
        <f aca="false">1/SQRT(B15*0.00000000000001)/1000</f>
        <v>6388.65525254871</v>
      </c>
      <c r="C17" s="6" t="s">
        <v>22</v>
      </c>
      <c r="D17" s="2"/>
      <c r="E17" s="2"/>
      <c r="F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</row>
    <row r="20" customFormat="false" ht="15" hidden="false" customHeight="false" outlineLevel="0" collapsed="false">
      <c r="A20" s="9" t="s">
        <v>31</v>
      </c>
      <c r="B20" s="2"/>
      <c r="C20" s="2"/>
      <c r="D20" s="2"/>
      <c r="E20" s="2"/>
      <c r="F20" s="2"/>
    </row>
    <row r="21" customFormat="false" ht="15" hidden="false" customHeight="false" outlineLevel="0" collapsed="false">
      <c r="A21" s="14" t="s">
        <v>32</v>
      </c>
      <c r="B21" s="14" t="s">
        <v>33</v>
      </c>
      <c r="C21" s="14" t="s">
        <v>34</v>
      </c>
      <c r="D21" s="14" t="s">
        <v>35</v>
      </c>
      <c r="E21" s="14" t="s">
        <v>36</v>
      </c>
      <c r="F21" s="14" t="s">
        <v>26</v>
      </c>
    </row>
    <row r="22" customFormat="false" ht="15" hidden="false" customHeight="false" outlineLevel="0" collapsed="false">
      <c r="A22" s="5" t="s">
        <v>37</v>
      </c>
      <c r="B22" s="2" t="n">
        <f aca="false">SUMPRODUCT((Triangles!$A$2:$A$1006=A22)*Triangles!$K$2:$K$1006)</f>
        <v>118</v>
      </c>
      <c r="C22" s="15" t="n">
        <f aca="false">SUMPRODUCT((Triangles!$A$2:$A$1006=A22)*Triangles!$K$2:$K$1006,Triangles!$D$2:$D$1006,Triangles!$E$2:$E$1006)/SUMPRODUCT((Triangles!$A$2:$A$1006=A22)*Triangles!$K$2:$K$1006,Triangles!$D$2:$D$1006,Triangles!$D$2:$D$1006)</f>
        <v>0.00507542860928446</v>
      </c>
      <c r="D22" s="15" t="n">
        <f aca="false">SUMPRODUCT((Triangles!$A$2:$A$1006=A22)*Triangles!$K$2:$K$1006,Triangles!$D$2:$D$1006,Triangles!$F$2:$F$1006,Triangles!$D$2:$D$1006)/SUMPRODUCT((Triangles!$A$2:$A$1006=A22)*Triangles!$K$2:$K$1006,Triangles!$D$2:$D$1006,Triangles!$D$2:$D$1006)</f>
        <v>0.00507771065661321</v>
      </c>
      <c r="E22" s="16" t="n">
        <f aca="false">C22/D22</f>
        <v>0.999550575548102</v>
      </c>
      <c r="F22" s="16" t="n">
        <f aca="false">INDEX(Triangles!$G$2:$G$1006,MATCH(A22,Triangles!$A$2:$A$1006,0))/SQRT(SUMPRODUCT((Triangles!$A$2:$A$1006=A22)*Triangles!$K$2:$K$1006,Triangles!$D$2:$D$1006,Triangles!$D$2:$D$1006))/D22</f>
        <v>0.00478238696315637</v>
      </c>
    </row>
    <row r="23" customFormat="false" ht="15" hidden="false" customHeight="false" outlineLevel="0" collapsed="false">
      <c r="A23" s="5" t="s">
        <v>38</v>
      </c>
      <c r="B23" s="2" t="n">
        <f aca="false">SUMPRODUCT((Triangles!$A$2:$A$1006=A23)*Triangles!$K$2:$K$1006)</f>
        <v>157</v>
      </c>
      <c r="C23" s="15" t="n">
        <f aca="false">SUMPRODUCT((Triangles!$A$2:$A$1006=A23)*Triangles!$K$2:$K$1006,Triangles!$D$2:$D$1006,Triangles!$E$2:$E$1006)/SUMPRODUCT((Triangles!$A$2:$A$1006=A23)*Triangles!$K$2:$K$1006,Triangles!$D$2:$D$1006,Triangles!$D$2:$D$1006)</f>
        <v>0.00492419282641939</v>
      </c>
      <c r="D23" s="15" t="n">
        <f aca="false">SUMPRODUCT((Triangles!$A$2:$A$1006=A23)*Triangles!$K$2:$K$1006,Triangles!$D$2:$D$1006,Triangles!$F$2:$F$1006,Triangles!$D$2:$D$1006)/SUMPRODUCT((Triangles!$A$2:$A$1006=A23)*Triangles!$K$2:$K$1006,Triangles!$D$2:$D$1006,Triangles!$D$2:$D$1006)</f>
        <v>0.00507677324011853</v>
      </c>
      <c r="E23" s="16" t="n">
        <f aca="false">C23/D23</f>
        <v>0.9699453951393</v>
      </c>
      <c r="F23" s="16" t="n">
        <f aca="false">INDEX(Triangles!$G$2:$G$1006,MATCH(A23,Triangles!$A$2:$A$1006,0))/SQRT(SUMPRODUCT((Triangles!$A$2:$A$1006=A23)*Triangles!$K$2:$K$1006,Triangles!$D$2:$D$1006,Triangles!$D$2:$D$1006))/D23</f>
        <v>0.0142947838374171</v>
      </c>
    </row>
    <row r="24" customFormat="false" ht="15" hidden="false" customHeight="false" outlineLevel="0" collapsed="false">
      <c r="A24" s="5" t="s">
        <v>39</v>
      </c>
      <c r="B24" s="2" t="n">
        <f aca="false">SUMPRODUCT((Triangles!$A$2:$A$1006=A24)*Triangles!$K$2:$K$1006)</f>
        <v>52</v>
      </c>
      <c r="C24" s="15" t="n">
        <f aca="false">SUMPRODUCT((Triangles!$A$2:$A$1006=A24)*Triangles!$K$2:$K$1006,Triangles!$D$2:$D$1006,Triangles!$E$2:$E$1006)/SUMPRODUCT((Triangles!$A$2:$A$1006=A24)*Triangles!$K$2:$K$1006,Triangles!$D$2:$D$1006,Triangles!$D$2:$D$1006)</f>
        <v>0.00509689887512443</v>
      </c>
      <c r="D24" s="15" t="n">
        <f aca="false">SUMPRODUCT((Triangles!$A$2:$A$1006=A24)*Triangles!$K$2:$K$1006,Triangles!$D$2:$D$1006,Triangles!$F$2:$F$1006,Triangles!$D$2:$D$1006)/SUMPRODUCT((Triangles!$A$2:$A$1006=A24)*Triangles!$K$2:$K$1006,Triangles!$D$2:$D$1006,Triangles!$D$2:$D$1006)</f>
        <v>0.00508560061630341</v>
      </c>
      <c r="E24" s="16" t="n">
        <f aca="false">C24/D24</f>
        <v>1.00222161740047</v>
      </c>
      <c r="F24" s="16" t="n">
        <f aca="false">INDEX(Triangles!$G$2:$G$1006,MATCH(A24,Triangles!$A$2:$A$1006,0))/SQRT(SUMPRODUCT((Triangles!$A$2:$A$1006=A24)*Triangles!$K$2:$K$1006,Triangles!$D$2:$D$1006,Triangles!$D$2:$D$1006))/D24</f>
        <v>0.0246511347697843</v>
      </c>
    </row>
    <row r="25" customFormat="false" ht="15" hidden="false" customHeight="false" outlineLevel="0" collapsed="false">
      <c r="A25" s="5" t="s">
        <v>40</v>
      </c>
      <c r="B25" s="2" t="n">
        <f aca="false">SUMPRODUCT((Triangles!$A$2:$A$1006=A25)*Triangles!$K$2:$K$1006)</f>
        <v>45</v>
      </c>
      <c r="C25" s="15" t="n">
        <f aca="false">SUMPRODUCT((Triangles!$A$2:$A$1006=A25)*Triangles!$K$2:$K$1006,Triangles!$D$2:$D$1006,Triangles!$E$2:$E$1006)/SUMPRODUCT((Triangles!$A$2:$A$1006=A25)*Triangles!$K$2:$K$1006,Triangles!$D$2:$D$1006,Triangles!$D$2:$D$1006)</f>
        <v>0.00484961981968654</v>
      </c>
      <c r="D25" s="15" t="n">
        <f aca="false">SUMPRODUCT((Triangles!$A$2:$A$1006=A25)*Triangles!$K$2:$K$1006,Triangles!$D$2:$D$1006,Triangles!$F$2:$F$1006,Triangles!$D$2:$D$1006)/SUMPRODUCT((Triangles!$A$2:$A$1006=A25)*Triangles!$K$2:$K$1006,Triangles!$D$2:$D$1006,Triangles!$D$2:$D$1006)</f>
        <v>0.00506343223286275</v>
      </c>
      <c r="E25" s="16" t="n">
        <f aca="false">C25/D25</f>
        <v>0.957773225088602</v>
      </c>
      <c r="F25" s="16" t="n">
        <f aca="false">INDEX(Triangles!$G$2:$G$1006,MATCH(A25,Triangles!$A$2:$A$1006,0))/SQRT(SUMPRODUCT((Triangles!$A$2:$A$1006=A25)*Triangles!$K$2:$K$1006,Triangles!$D$2:$D$1006,Triangles!$D$2:$D$1006))/D25</f>
        <v>0.0250304049153882</v>
      </c>
    </row>
    <row r="26" customFormat="false" ht="15" hidden="false" customHeight="false" outlineLevel="0" collapsed="false">
      <c r="A26" s="5" t="s">
        <v>41</v>
      </c>
      <c r="B26" s="2" t="n">
        <f aca="false">SUMPRODUCT((Triangles!$A$2:$A$1006=A26)*Triangles!$K$2:$K$1006)</f>
        <v>9</v>
      </c>
      <c r="C26" s="15" t="n">
        <f aca="false">SUMPRODUCT((Triangles!$A$2:$A$1006=A26)*Triangles!$K$2:$K$1006,Triangles!$D$2:$D$1006,Triangles!$E$2:$E$1006)/SUMPRODUCT((Triangles!$A$2:$A$1006=A26)*Triangles!$K$2:$K$1006,Triangles!$D$2:$D$1006,Triangles!$D$2:$D$1006)</f>
        <v>0.00407557852206398</v>
      </c>
      <c r="D26" s="15" t="n">
        <f aca="false">SUMPRODUCT((Triangles!$A$2:$A$1006=A26)*Triangles!$K$2:$K$1006,Triangles!$D$2:$D$1006,Triangles!$F$2:$F$1006,Triangles!$D$2:$D$1006)/SUMPRODUCT((Triangles!$A$2:$A$1006=A26)*Triangles!$K$2:$K$1006,Triangles!$D$2:$D$1006,Triangles!$D$2:$D$1006)</f>
        <v>0.00509552262775413</v>
      </c>
      <c r="E26" s="16" t="n">
        <f aca="false">C26/D26</f>
        <v>0.799835231790602</v>
      </c>
      <c r="F26" s="16" t="n">
        <f aca="false">INDEX(Triangles!$G$2:$G$1006,MATCH(A26,Triangles!$A$2:$A$1006,0))/SQRT(SUMPRODUCT((Triangles!$A$2:$A$1006=A26)*Triangles!$K$2:$K$1006,Triangles!$D$2:$D$1006,Triangles!$D$2:$D$1006))/D26</f>
        <v>0.11069396443316</v>
      </c>
    </row>
    <row r="27" customFormat="false" ht="15" hidden="false" customHeight="false" outlineLevel="0" collapsed="false">
      <c r="A27" s="5" t="s">
        <v>42</v>
      </c>
      <c r="B27" s="2" t="n">
        <f aca="false">SUMPRODUCT((Triangles!$A$2:$A$1006=A27)*Triangles!$K$2:$K$1006)</f>
        <v>4</v>
      </c>
      <c r="C27" s="15" t="n">
        <f aca="false">SUMPRODUCT((Triangles!$A$2:$A$1006=A27)*Triangles!$K$2:$K$1006,Triangles!$D$2:$D$1006,Triangles!$E$2:$E$1006)/SUMPRODUCT((Triangles!$A$2:$A$1006=A27)*Triangles!$K$2:$K$1006,Triangles!$D$2:$D$1006,Triangles!$D$2:$D$1006)</f>
        <v>0.0063201719037806</v>
      </c>
      <c r="D27" s="15" t="n">
        <f aca="false">SUMPRODUCT((Triangles!$A$2:$A$1006=A27)*Triangles!$K$2:$K$1006,Triangles!$D$2:$D$1006,Triangles!$F$2:$F$1006,Triangles!$D$2:$D$1006)/SUMPRODUCT((Triangles!$A$2:$A$1006=A27)*Triangles!$K$2:$K$1006,Triangles!$D$2:$D$1006,Triangles!$D$2:$D$1006)</f>
        <v>0.00510132344707191</v>
      </c>
      <c r="E27" s="16" t="n">
        <f aca="false">C27/D27</f>
        <v>1.23892789182154</v>
      </c>
      <c r="F27" s="16" t="n">
        <f aca="false">INDEX(Triangles!$G$2:$G$1006,MATCH(A27,Triangles!$A$2:$A$1006,0))/SQRT(SUMPRODUCT((Triangles!$A$2:$A$1006=A27)*Triangles!$K$2:$K$1006,Triangles!$D$2:$D$1006,Triangles!$D$2:$D$1006))/D27</f>
        <v>0.127628251723855</v>
      </c>
    </row>
    <row r="28" customFormat="false" ht="15" hidden="false" customHeight="false" outlineLevel="0" collapsed="false">
      <c r="A28" s="5" t="s">
        <v>43</v>
      </c>
      <c r="B28" s="2" t="n">
        <f aca="false">SUMPRODUCT((Triangles!$A$2:$A$1006=A28)*Triangles!$K$2:$K$1006)</f>
        <v>6</v>
      </c>
      <c r="C28" s="15" t="n">
        <f aca="false">SUMPRODUCT((Triangles!$A$2:$A$1006=A28)*Triangles!$K$2:$K$1006,Triangles!$D$2:$D$1006,Triangles!$E$2:$E$1006)/SUMPRODUCT((Triangles!$A$2:$A$1006=A28)*Triangles!$K$2:$K$1006,Triangles!$D$2:$D$1006,Triangles!$D$2:$D$1006)</f>
        <v>0.00377143259550053</v>
      </c>
      <c r="D28" s="15" t="n">
        <f aca="false">SUMPRODUCT((Triangles!$A$2:$A$1006=A28)*Triangles!$K$2:$K$1006,Triangles!$D$2:$D$1006,Triangles!$F$2:$F$1006,Triangles!$D$2:$D$1006)/SUMPRODUCT((Triangles!$A$2:$A$1006=A28)*Triangles!$K$2:$K$1006,Triangles!$D$2:$D$1006,Triangles!$D$2:$D$1006)</f>
        <v>0.0050635818936921</v>
      </c>
      <c r="E28" s="16" t="n">
        <f aca="false">C28/D28</f>
        <v>0.744815167342064</v>
      </c>
      <c r="F28" s="16" t="n">
        <f aca="false">INDEX(Triangles!$G$2:$G$1006,MATCH(A28,Triangles!$A$2:$A$1006,0))/SQRT(SUMPRODUCT((Triangles!$A$2:$A$1006=A28)*Triangles!$K$2:$K$1006,Triangles!$D$2:$D$1006,Triangles!$D$2:$D$1006))/D28</f>
        <v>0.114265699348282</v>
      </c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</row>
    <row r="30" customFormat="false" ht="15" hidden="false" customHeight="false" outlineLevel="0" collapsed="false">
      <c r="A30" s="6" t="s">
        <v>44</v>
      </c>
      <c r="B30" s="2"/>
      <c r="C30" s="2"/>
      <c r="D30" s="2"/>
      <c r="E30" s="2"/>
      <c r="F3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2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2" min="10" style="0" width="9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60"/>
    <col collapsed="false" customWidth="true" hidden="false" outlineLevel="0" max="16" min="16" style="0" width="16"/>
    <col collapsed="false" customWidth="true" hidden="false" outlineLevel="0" max="17" min="17" style="0" width="14"/>
  </cols>
  <sheetData>
    <row r="1" customFormat="false" ht="52.2" hidden="false" customHeight="false" outlineLevel="0" collapsed="false">
      <c r="A1" s="17" t="s">
        <v>32</v>
      </c>
      <c r="B1" s="17" t="s">
        <v>45</v>
      </c>
      <c r="C1" s="17" t="s">
        <v>46</v>
      </c>
      <c r="D1" s="17" t="s">
        <v>47</v>
      </c>
      <c r="E1" s="17" t="s">
        <v>48</v>
      </c>
      <c r="F1" s="17" t="s">
        <v>49</v>
      </c>
      <c r="G1" s="17" t="s">
        <v>50</v>
      </c>
      <c r="H1" s="17" t="s">
        <v>51</v>
      </c>
      <c r="I1" s="17" t="s">
        <v>52</v>
      </c>
      <c r="J1" s="17" t="s">
        <v>53</v>
      </c>
      <c r="K1" s="17" t="s">
        <v>54</v>
      </c>
      <c r="L1" s="17" t="s">
        <v>55</v>
      </c>
      <c r="M1" s="17" t="s">
        <v>56</v>
      </c>
      <c r="N1" s="17" t="s">
        <v>57</v>
      </c>
      <c r="O1" s="17" t="s">
        <v>58</v>
      </c>
      <c r="P1" s="17" t="s">
        <v>59</v>
      </c>
      <c r="Q1" s="17" t="s">
        <v>60</v>
      </c>
    </row>
    <row r="2" customFormat="false" ht="15" hidden="false" customHeight="false" outlineLevel="0" collapsed="false">
      <c r="A2" s="4" t="s">
        <v>61</v>
      </c>
      <c r="B2" s="4" t="s">
        <v>62</v>
      </c>
      <c r="C2" s="4" t="s">
        <v>63</v>
      </c>
      <c r="D2" s="5" t="n">
        <v>45.3723</v>
      </c>
      <c r="E2" s="5" t="n">
        <v>-1</v>
      </c>
      <c r="F2" s="5" t="n">
        <v>0.00506277029600572</v>
      </c>
      <c r="G2" s="5" t="n">
        <v>1.3442</v>
      </c>
      <c r="H2" s="2" t="n">
        <f aca="false">D2*F2</f>
        <v>0.22970953270146</v>
      </c>
      <c r="I2" s="2" t="n">
        <f aca="false">IF(G2="","",D2*1000000/Inputs!$B$4^2*Inputs!$B$5/G2)</f>
        <v>0.171528712147403</v>
      </c>
      <c r="J2" s="2" t="n">
        <f aca="false">IF(C2="A",Inputs!$B$7,IF(C2="B",Inputs!$B$8,IF(C2="C",Inputs!$B$9,0)))</f>
        <v>1</v>
      </c>
      <c r="K2" s="2" t="n">
        <f aca="false">IF(AND(E2&lt;&gt;"",G2&lt;&gt;"",J2&gt;0),IF(I2&gt;=Inputs!$B$6,1,0),0)</f>
        <v>0</v>
      </c>
      <c r="L2" s="5" t="n">
        <v>0</v>
      </c>
      <c r="M2" s="5" t="n">
        <v>45.2204</v>
      </c>
      <c r="N2" s="5" t="n">
        <v>0.29</v>
      </c>
      <c r="O2" s="4" t="s">
        <v>64</v>
      </c>
      <c r="P2" s="2" t="n">
        <f aca="false">IF(K2=1,J2/G2^2,0)</f>
        <v>0</v>
      </c>
      <c r="Q2" s="2" t="n">
        <f aca="false">IF(K2=1,((E2-Result!$B$7*D2)/G2)^2,0)</f>
        <v>0</v>
      </c>
    </row>
    <row r="3" customFormat="false" ht="15" hidden="false" customHeight="false" outlineLevel="0" collapsed="false">
      <c r="A3" s="4" t="s">
        <v>61</v>
      </c>
      <c r="B3" s="4" t="s">
        <v>65</v>
      </c>
      <c r="C3" s="4" t="s">
        <v>66</v>
      </c>
      <c r="D3" s="5" t="n">
        <v>42.2137</v>
      </c>
      <c r="E3" s="5" t="n">
        <v>-0.4</v>
      </c>
      <c r="F3" s="5" t="n">
        <v>0.00506281883753045</v>
      </c>
      <c r="G3" s="5" t="n">
        <v>1.3442</v>
      </c>
      <c r="H3" s="2" t="n">
        <f aca="false">D3*F3</f>
        <v>0.213720315561859</v>
      </c>
      <c r="I3" s="2" t="n">
        <f aca="false">IF(G3="","",D3*1000000/Inputs!$B$4^2*Inputs!$B$5/G3)</f>
        <v>0.159587713119609</v>
      </c>
      <c r="J3" s="2" t="n">
        <f aca="false">IF(C3="A",Inputs!$B$7,IF(C3="B",Inputs!$B$8,IF(C3="C",Inputs!$B$9,0)))</f>
        <v>0.5</v>
      </c>
      <c r="K3" s="2" t="n">
        <f aca="false">IF(AND(E3&lt;&gt;"",G3&lt;&gt;"",J3&gt;0),IF(I3&gt;=Inputs!$B$6,1,0),0)</f>
        <v>0</v>
      </c>
      <c r="L3" s="5" t="n">
        <v>0</v>
      </c>
      <c r="M3" s="5" t="n">
        <v>42.0201</v>
      </c>
      <c r="N3" s="5" t="n">
        <v>0.21</v>
      </c>
      <c r="O3" s="4" t="s">
        <v>64</v>
      </c>
      <c r="P3" s="2" t="n">
        <f aca="false">IF(K3=1,J3/G3^2,0)</f>
        <v>0</v>
      </c>
      <c r="Q3" s="2" t="n">
        <f aca="false">IF(K3=1,((E3-Result!$B$7*D3)/G3)^2,0)</f>
        <v>0</v>
      </c>
    </row>
    <row r="4" customFormat="false" ht="15" hidden="false" customHeight="false" outlineLevel="0" collapsed="false">
      <c r="A4" s="4" t="s">
        <v>61</v>
      </c>
      <c r="B4" s="4" t="s">
        <v>67</v>
      </c>
      <c r="C4" s="4"/>
      <c r="D4" s="5" t="n">
        <v>49.2762</v>
      </c>
      <c r="E4" s="5"/>
      <c r="F4" s="5" t="n">
        <v>0.00506279691052089</v>
      </c>
      <c r="G4" s="5" t="n">
        <v>1.3442</v>
      </c>
      <c r="H4" s="2" t="n">
        <f aca="false">D4*F4</f>
        <v>0.249475393122209</v>
      </c>
      <c r="I4" s="2" t="n">
        <f aca="false">IF(G4="","",D4*1000000/Inputs!$B$4^2*Inputs!$B$5/G4)</f>
        <v>0.186287296996579</v>
      </c>
      <c r="J4" s="2" t="n">
        <f aca="false">IF(C4="A",Inputs!$B$7,IF(C4="B",Inputs!$B$8,IF(C4="C",Inputs!$B$9,0)))</f>
        <v>0</v>
      </c>
      <c r="K4" s="2" t="n">
        <f aca="false">IF(AND(E4&lt;&gt;"",G4&lt;&gt;"",J4&gt;0),IF(I4&gt;=Inputs!$B$6,1,0),0)</f>
        <v>0</v>
      </c>
      <c r="L4" s="5" t="n">
        <v>0</v>
      </c>
      <c r="M4" s="5" t="n">
        <v>49.2762</v>
      </c>
      <c r="N4" s="5" t="n">
        <v>0.25</v>
      </c>
      <c r="O4" s="4" t="s">
        <v>64</v>
      </c>
      <c r="P4" s="2" t="n">
        <f aca="false">IF(K4=1,J4/G4^2,0)</f>
        <v>0</v>
      </c>
      <c r="Q4" s="2" t="n">
        <f aca="false">IF(K4=1,((E4-Result!$B$7*D4)/G4)^2,0)</f>
        <v>0</v>
      </c>
    </row>
    <row r="5" customFormat="false" ht="15" hidden="false" customHeight="false" outlineLevel="0" collapsed="false">
      <c r="A5" s="4" t="s">
        <v>61</v>
      </c>
      <c r="B5" s="4" t="s">
        <v>68</v>
      </c>
      <c r="C5" s="4" t="s">
        <v>66</v>
      </c>
      <c r="D5" s="5" t="n">
        <v>214.0675</v>
      </c>
      <c r="E5" s="5" t="n">
        <v>-0.75</v>
      </c>
      <c r="F5" s="5" t="n">
        <v>0.00506283609196809</v>
      </c>
      <c r="G5" s="5" t="n">
        <v>1.3442</v>
      </c>
      <c r="H5" s="2" t="n">
        <f aca="false">D5*F5</f>
        <v>1.08378866511738</v>
      </c>
      <c r="I5" s="2" t="n">
        <f aca="false">IF(G5="","",D5*1000000/Inputs!$B$4^2*Inputs!$B$5/G5)</f>
        <v>0.80927620128612</v>
      </c>
      <c r="J5" s="2" t="n">
        <f aca="false">IF(C5="A",Inputs!$B$7,IF(C5="B",Inputs!$B$8,IF(C5="C",Inputs!$B$9,0)))</f>
        <v>0.5</v>
      </c>
      <c r="K5" s="2" t="n">
        <f aca="false">IF(AND(E5&lt;&gt;"",G5&lt;&gt;"",J5&gt;0),IF(I5&gt;=Inputs!$B$6,1,0),0)</f>
        <v>0</v>
      </c>
      <c r="L5" s="5" t="n">
        <v>0</v>
      </c>
      <c r="M5" s="5" t="n">
        <v>213.2789</v>
      </c>
      <c r="N5" s="5" t="n">
        <v>1.08</v>
      </c>
      <c r="O5" s="4" t="s">
        <v>64</v>
      </c>
      <c r="P5" s="2" t="n">
        <f aca="false">IF(K5=1,J5/G5^2,0)</f>
        <v>0</v>
      </c>
      <c r="Q5" s="2" t="n">
        <f aca="false">IF(K5=1,((E5-Result!$B$7*D5)/G5)^2,0)</f>
        <v>0</v>
      </c>
    </row>
    <row r="6" customFormat="false" ht="15" hidden="false" customHeight="false" outlineLevel="0" collapsed="false">
      <c r="A6" s="4" t="s">
        <v>61</v>
      </c>
      <c r="B6" s="4" t="s">
        <v>69</v>
      </c>
      <c r="C6" s="4" t="s">
        <v>66</v>
      </c>
      <c r="D6" s="5" t="n">
        <v>233.4519</v>
      </c>
      <c r="E6" s="5" t="n">
        <v>1.05</v>
      </c>
      <c r="F6" s="5" t="n">
        <v>0.00506280945513665</v>
      </c>
      <c r="G6" s="5" t="n">
        <v>1.3442</v>
      </c>
      <c r="H6" s="2" t="n">
        <f aca="false">D6*F6</f>
        <v>1.18192248663962</v>
      </c>
      <c r="I6" s="2" t="n">
        <f aca="false">IF(G6="","",D6*1000000/Inputs!$B$4^2*Inputs!$B$5/G6)</f>
        <v>0.882558383757587</v>
      </c>
      <c r="J6" s="2" t="n">
        <f aca="false">IF(C6="A",Inputs!$B$7,IF(C6="B",Inputs!$B$8,IF(C6="C",Inputs!$B$9,0)))</f>
        <v>0.5</v>
      </c>
      <c r="K6" s="2" t="n">
        <f aca="false">IF(AND(E6&lt;&gt;"",G6&lt;&gt;"",J6&gt;0),IF(I6&gt;=Inputs!$B$6,1,0),0)</f>
        <v>0</v>
      </c>
      <c r="L6" s="5" t="n">
        <v>0</v>
      </c>
      <c r="M6" s="5" t="n">
        <v>232.5278</v>
      </c>
      <c r="N6" s="5" t="n">
        <v>1.18</v>
      </c>
      <c r="O6" s="4" t="s">
        <v>64</v>
      </c>
      <c r="P6" s="2" t="n">
        <f aca="false">IF(K6=1,J6/G6^2,0)</f>
        <v>0</v>
      </c>
      <c r="Q6" s="2" t="n">
        <f aca="false">IF(K6=1,((E6-Result!$B$7*D6)/G6)^2,0)</f>
        <v>0</v>
      </c>
    </row>
    <row r="7" customFormat="false" ht="15" hidden="false" customHeight="false" outlineLevel="0" collapsed="false">
      <c r="A7" s="4" t="s">
        <v>61</v>
      </c>
      <c r="B7" s="4" t="s">
        <v>70</v>
      </c>
      <c r="C7" s="4" t="s">
        <v>66</v>
      </c>
      <c r="D7" s="5" t="n">
        <v>110.2082</v>
      </c>
      <c r="E7" s="5" t="n">
        <v>1</v>
      </c>
      <c r="F7" s="5" t="n">
        <v>0.00506278157543501</v>
      </c>
      <c r="G7" s="5" t="n">
        <v>1.3442</v>
      </c>
      <c r="H7" s="2" t="n">
        <f aca="false">D7*F7</f>
        <v>0.557960044421857</v>
      </c>
      <c r="I7" s="2" t="n">
        <f aca="false">IF(G7="","",D7*1000000/Inputs!$B$4^2*Inputs!$B$5/G7)</f>
        <v>0.4166390201529</v>
      </c>
      <c r="J7" s="2" t="n">
        <f aca="false">IF(C7="A",Inputs!$B$7,IF(C7="B",Inputs!$B$8,IF(C7="C",Inputs!$B$9,0)))</f>
        <v>0.5</v>
      </c>
      <c r="K7" s="2" t="n">
        <f aca="false">IF(AND(E7&lt;&gt;"",G7&lt;&gt;"",J7&gt;0),IF(I7&gt;=Inputs!$B$6,1,0),0)</f>
        <v>0</v>
      </c>
      <c r="L7" s="5" t="n">
        <v>0</v>
      </c>
      <c r="M7" s="5" t="n">
        <v>109.7378</v>
      </c>
      <c r="N7" s="5" t="n">
        <v>0.44</v>
      </c>
      <c r="O7" s="4" t="s">
        <v>64</v>
      </c>
      <c r="P7" s="2" t="n">
        <f aca="false">IF(K7=1,J7/G7^2,0)</f>
        <v>0</v>
      </c>
      <c r="Q7" s="2" t="n">
        <f aca="false">IF(K7=1,((E7-Result!$B$7*D7)/G7)^2,0)</f>
        <v>0</v>
      </c>
    </row>
    <row r="8" customFormat="false" ht="15" hidden="false" customHeight="false" outlineLevel="0" collapsed="false">
      <c r="A8" s="4" t="s">
        <v>61</v>
      </c>
      <c r="B8" s="4" t="s">
        <v>71</v>
      </c>
      <c r="C8" s="4"/>
      <c r="D8" s="5" t="n">
        <v>105.1201</v>
      </c>
      <c r="E8" s="5"/>
      <c r="F8" s="5" t="n">
        <v>0.00506283116528665</v>
      </c>
      <c r="G8" s="5" t="n">
        <v>1.3442</v>
      </c>
      <c r="H8" s="2" t="n">
        <f aca="false">D8*F8</f>
        <v>0.532205318378049</v>
      </c>
      <c r="I8" s="2" t="n">
        <f aca="false">IF(G8="","",D8*1000000/Inputs!$B$4^2*Inputs!$B$5/G8)</f>
        <v>0.397403600298117</v>
      </c>
      <c r="J8" s="2" t="n">
        <f aca="false">IF(C8="A",Inputs!$B$7,IF(C8="B",Inputs!$B$8,IF(C8="C",Inputs!$B$9,0)))</f>
        <v>0</v>
      </c>
      <c r="K8" s="2" t="n">
        <f aca="false">IF(AND(E8&lt;&gt;"",G8&lt;&gt;"",J8&gt;0),IF(I8&gt;=Inputs!$B$6,1,0),0)</f>
        <v>0</v>
      </c>
      <c r="L8" s="5" t="n">
        <v>0</v>
      </c>
      <c r="M8" s="5" t="n">
        <v>105.1201</v>
      </c>
      <c r="N8" s="5" t="n">
        <v>0.53</v>
      </c>
      <c r="O8" s="4" t="s">
        <v>64</v>
      </c>
      <c r="P8" s="2" t="n">
        <f aca="false">IF(K8=1,J8/G8^2,0)</f>
        <v>0</v>
      </c>
      <c r="Q8" s="2" t="n">
        <f aca="false">IF(K8=1,((E8-Result!$B$7*D8)/G8)^2,0)</f>
        <v>0</v>
      </c>
    </row>
    <row r="9" customFormat="false" ht="15" hidden="false" customHeight="false" outlineLevel="0" collapsed="false">
      <c r="A9" s="4" t="s">
        <v>61</v>
      </c>
      <c r="B9" s="4" t="s">
        <v>72</v>
      </c>
      <c r="C9" s="4" t="s">
        <v>66</v>
      </c>
      <c r="D9" s="5" t="n">
        <v>19.6872</v>
      </c>
      <c r="E9" s="5" t="n">
        <v>2</v>
      </c>
      <c r="F9" s="5" t="n">
        <v>0.00506279917491623</v>
      </c>
      <c r="G9" s="5" t="n">
        <v>1.3442</v>
      </c>
      <c r="H9" s="2" t="n">
        <f aca="false">D9*F9</f>
        <v>0.0996723399164107</v>
      </c>
      <c r="I9" s="2" t="n">
        <f aca="false">IF(G9="","",D9*1000000/Inputs!$B$4^2*Inputs!$B$5/G9)</f>
        <v>0.0744269094092289</v>
      </c>
      <c r="J9" s="2" t="n">
        <f aca="false">IF(C9="A",Inputs!$B$7,IF(C9="B",Inputs!$B$8,IF(C9="C",Inputs!$B$9,0)))</f>
        <v>0.5</v>
      </c>
      <c r="K9" s="2" t="n">
        <f aca="false">IF(AND(E9&lt;&gt;"",G9&lt;&gt;"",J9&gt;0),IF(I9&gt;=Inputs!$B$6,1,0),0)</f>
        <v>0</v>
      </c>
      <c r="L9" s="5" t="n">
        <v>0</v>
      </c>
      <c r="M9" s="5" t="n">
        <v>19.5889</v>
      </c>
      <c r="N9" s="5" t="n">
        <v>0.01</v>
      </c>
      <c r="O9" s="4" t="s">
        <v>64</v>
      </c>
      <c r="P9" s="2" t="n">
        <f aca="false">IF(K9=1,J9/G9^2,0)</f>
        <v>0</v>
      </c>
      <c r="Q9" s="2" t="n">
        <f aca="false">IF(K9=1,((E9-Result!$B$7*D9)/G9)^2,0)</f>
        <v>0</v>
      </c>
    </row>
    <row r="10" customFormat="false" ht="15" hidden="false" customHeight="false" outlineLevel="0" collapsed="false">
      <c r="A10" s="4" t="s">
        <v>61</v>
      </c>
      <c r="B10" s="4" t="s">
        <v>73</v>
      </c>
      <c r="C10" s="4" t="s">
        <v>66</v>
      </c>
      <c r="D10" s="5" t="n">
        <v>153.1923</v>
      </c>
      <c r="E10" s="5" t="n">
        <v>-0.05</v>
      </c>
      <c r="F10" s="5" t="n">
        <v>0.0050629041240557</v>
      </c>
      <c r="G10" s="5" t="n">
        <v>1.3442</v>
      </c>
      <c r="H10" s="2" t="n">
        <f aca="false">D10*F10</f>
        <v>0.775597927443579</v>
      </c>
      <c r="I10" s="2" t="n">
        <f aca="false">IF(G10="","",D10*1000000/Inputs!$B$4^2*Inputs!$B$5/G10)</f>
        <v>0.579139208942431</v>
      </c>
      <c r="J10" s="2" t="n">
        <f aca="false">IF(C10="A",Inputs!$B$7,IF(C10="B",Inputs!$B$8,IF(C10="C",Inputs!$B$9,0)))</f>
        <v>0.5</v>
      </c>
      <c r="K10" s="2" t="n">
        <f aca="false">IF(AND(E10&lt;&gt;"",G10&lt;&gt;"",J10&gt;0),IF(I10&gt;=Inputs!$B$6,1,0),0)</f>
        <v>0</v>
      </c>
      <c r="L10" s="5" t="n">
        <v>0</v>
      </c>
      <c r="M10" s="5" t="n">
        <v>152.475</v>
      </c>
      <c r="N10" s="5" t="n">
        <v>0.78</v>
      </c>
      <c r="O10" s="4" t="s">
        <v>64</v>
      </c>
      <c r="P10" s="2" t="n">
        <f aca="false">IF(K10=1,J10/G10^2,0)</f>
        <v>0</v>
      </c>
      <c r="Q10" s="2" t="n">
        <f aca="false">IF(K10=1,((E10-Result!$B$7*D10)/G10)^2,0)</f>
        <v>0</v>
      </c>
    </row>
    <row r="11" customFormat="false" ht="15" hidden="false" customHeight="false" outlineLevel="0" collapsed="false">
      <c r="A11" s="4" t="s">
        <v>61</v>
      </c>
      <c r="B11" s="4" t="s">
        <v>74</v>
      </c>
      <c r="C11" s="4" t="s">
        <v>66</v>
      </c>
      <c r="D11" s="5" t="n">
        <v>220.3761</v>
      </c>
      <c r="E11" s="5" t="n">
        <v>1</v>
      </c>
      <c r="F11" s="5" t="n">
        <v>0.00506291307696749</v>
      </c>
      <c r="G11" s="5" t="n">
        <v>1.3442</v>
      </c>
      <c r="H11" s="2" t="n">
        <f aca="false">D11*F11</f>
        <v>1.11574503854109</v>
      </c>
      <c r="I11" s="2" t="n">
        <f aca="false">IF(G11="","",D11*1000000/Inputs!$B$4^2*Inputs!$B$5/G11)</f>
        <v>0.83312568728205</v>
      </c>
      <c r="J11" s="2" t="n">
        <f aca="false">IF(C11="A",Inputs!$B$7,IF(C11="B",Inputs!$B$8,IF(C11="C",Inputs!$B$9,0)))</f>
        <v>0.5</v>
      </c>
      <c r="K11" s="2" t="n">
        <f aca="false">IF(AND(E11&lt;&gt;"",G11&lt;&gt;"",J11&gt;0),IF(I11&gt;=Inputs!$B$6,1,0),0)</f>
        <v>0</v>
      </c>
      <c r="L11" s="5" t="n">
        <v>0</v>
      </c>
      <c r="M11" s="5" t="n">
        <v>224.658</v>
      </c>
      <c r="N11" s="5" t="n">
        <v>1.12</v>
      </c>
      <c r="O11" s="4" t="s">
        <v>64</v>
      </c>
      <c r="P11" s="2" t="n">
        <f aca="false">IF(K11=1,J11/G11^2,0)</f>
        <v>0</v>
      </c>
      <c r="Q11" s="2" t="n">
        <f aca="false">IF(K11=1,((E11-Result!$B$7*D11)/G11)^2,0)</f>
        <v>0</v>
      </c>
    </row>
    <row r="12" customFormat="false" ht="15" hidden="false" customHeight="false" outlineLevel="0" collapsed="false">
      <c r="A12" s="4" t="s">
        <v>61</v>
      </c>
      <c r="B12" s="4" t="s">
        <v>75</v>
      </c>
      <c r="C12" s="4" t="s">
        <v>66</v>
      </c>
      <c r="D12" s="5" t="n">
        <v>257.5567</v>
      </c>
      <c r="E12" s="5" t="n">
        <v>1.45</v>
      </c>
      <c r="F12" s="5" t="n">
        <v>0.00506305541638919</v>
      </c>
      <c r="G12" s="5" t="n">
        <v>1.3442</v>
      </c>
      <c r="H12" s="2" t="n">
        <f aca="false">D12*F12</f>
        <v>1.30402384496233</v>
      </c>
      <c r="I12" s="2" t="n">
        <f aca="false">IF(G12="","",D12*1000000/Inputs!$B$4^2*Inputs!$B$5/G12)</f>
        <v>0.973685906509811</v>
      </c>
      <c r="J12" s="2" t="n">
        <f aca="false">IF(C12="A",Inputs!$B$7,IF(C12="B",Inputs!$B$8,IF(C12="C",Inputs!$B$9,0)))</f>
        <v>0.5</v>
      </c>
      <c r="K12" s="2" t="n">
        <f aca="false">IF(AND(E12&lt;&gt;"",G12&lt;&gt;"",J12&gt;0),IF(I12&gt;=Inputs!$B$6,1,0),0)</f>
        <v>0</v>
      </c>
      <c r="L12" s="5" t="n">
        <v>0</v>
      </c>
      <c r="M12" s="5" t="n">
        <v>261.4555</v>
      </c>
      <c r="N12" s="5" t="n">
        <v>1.3</v>
      </c>
      <c r="O12" s="4" t="s">
        <v>64</v>
      </c>
      <c r="P12" s="2" t="n">
        <f aca="false">IF(K12=1,J12/G12^2,0)</f>
        <v>0</v>
      </c>
      <c r="Q12" s="2" t="n">
        <f aca="false">IF(K12=1,((E12-Result!$B$7*D12)/G12)^2,0)</f>
        <v>0</v>
      </c>
    </row>
    <row r="13" customFormat="false" ht="15" hidden="false" customHeight="false" outlineLevel="0" collapsed="false">
      <c r="A13" s="4" t="s">
        <v>61</v>
      </c>
      <c r="B13" s="4" t="s">
        <v>76</v>
      </c>
      <c r="C13" s="4"/>
      <c r="D13" s="5" t="n">
        <v>293.0477</v>
      </c>
      <c r="E13" s="5"/>
      <c r="F13" s="5" t="n">
        <v>0.00506306057623741</v>
      </c>
      <c r="G13" s="5" t="n">
        <v>1.3442</v>
      </c>
      <c r="H13" s="2" t="n">
        <f aca="false">D13*F13</f>
        <v>1.48371825682705</v>
      </c>
      <c r="I13" s="2" t="n">
        <f aca="false">IF(G13="","",D13*1000000/Inputs!$B$4^2*Inputs!$B$5/G13)</f>
        <v>1.10785864015619</v>
      </c>
      <c r="J13" s="2" t="n">
        <f aca="false">IF(C13="A",Inputs!$B$7,IF(C13="B",Inputs!$B$8,IF(C13="C",Inputs!$B$9,0)))</f>
        <v>0</v>
      </c>
      <c r="K13" s="2" t="n">
        <f aca="false">IF(AND(E13&lt;&gt;"",G13&lt;&gt;"",J13&gt;0),IF(I13&gt;=Inputs!$B$6,1,0),0)</f>
        <v>0</v>
      </c>
      <c r="L13" s="5" t="n">
        <v>0</v>
      </c>
      <c r="M13" s="5" t="n">
        <v>293.0477</v>
      </c>
      <c r="N13" s="5" t="n">
        <v>1.52</v>
      </c>
      <c r="O13" s="4" t="s">
        <v>64</v>
      </c>
      <c r="P13" s="2" t="n">
        <f aca="false">IF(K13=1,J13/G13^2,0)</f>
        <v>0</v>
      </c>
      <c r="Q13" s="2" t="n">
        <f aca="false">IF(K13=1,((E13-Result!$B$7*D13)/G13)^2,0)</f>
        <v>0</v>
      </c>
    </row>
    <row r="14" customFormat="false" ht="15" hidden="false" customHeight="false" outlineLevel="0" collapsed="false">
      <c r="A14" s="4" t="s">
        <v>61</v>
      </c>
      <c r="B14" s="4" t="s">
        <v>77</v>
      </c>
      <c r="C14" s="4"/>
      <c r="D14" s="5" t="n">
        <v>558.6645</v>
      </c>
      <c r="E14" s="5"/>
      <c r="F14" s="5" t="n">
        <v>0.00506322984291708</v>
      </c>
      <c r="G14" s="5" t="n">
        <v>1.3442</v>
      </c>
      <c r="H14" s="2" t="n">
        <f aca="false">D14*F14</f>
        <v>2.82864676857835</v>
      </c>
      <c r="I14" s="2" t="n">
        <f aca="false">IF(G14="","",D14*1000000/Inputs!$B$4^2*Inputs!$B$5/G14)</f>
        <v>2.11201552946342</v>
      </c>
      <c r="J14" s="2" t="n">
        <f aca="false">IF(C14="A",Inputs!$B$7,IF(C14="B",Inputs!$B$8,IF(C14="C",Inputs!$B$9,0)))</f>
        <v>0</v>
      </c>
      <c r="K14" s="2" t="n">
        <f aca="false">IF(AND(E14&lt;&gt;"",G14&lt;&gt;"",J14&gt;0),IF(I14&gt;=Inputs!$B$6,1,0),0)</f>
        <v>0</v>
      </c>
      <c r="L14" s="5" t="n">
        <v>0</v>
      </c>
      <c r="M14" s="5" t="n">
        <v>558.6645</v>
      </c>
      <c r="N14" s="5" t="n">
        <v>2.85</v>
      </c>
      <c r="O14" s="4" t="s">
        <v>64</v>
      </c>
      <c r="P14" s="2" t="n">
        <f aca="false">IF(K14=1,J14/G14^2,0)</f>
        <v>0</v>
      </c>
      <c r="Q14" s="2" t="n">
        <f aca="false">IF(K14=1,((E14-Result!$B$7*D14)/G14)^2,0)</f>
        <v>0</v>
      </c>
    </row>
    <row r="15" customFormat="false" ht="15" hidden="false" customHeight="false" outlineLevel="0" collapsed="false">
      <c r="A15" s="4" t="s">
        <v>61</v>
      </c>
      <c r="B15" s="4" t="s">
        <v>78</v>
      </c>
      <c r="C15" s="4" t="s">
        <v>66</v>
      </c>
      <c r="D15" s="5" t="n">
        <v>265.7618</v>
      </c>
      <c r="E15" s="5" t="n">
        <v>-1.5</v>
      </c>
      <c r="F15" s="5" t="n">
        <v>0.00506304943193272</v>
      </c>
      <c r="G15" s="5" t="n">
        <v>1.3442</v>
      </c>
      <c r="H15" s="2" t="n">
        <f aca="false">D15*F15</f>
        <v>1.34556513051942</v>
      </c>
      <c r="I15" s="2" t="n">
        <f aca="false">IF(G15="","",D15*1000000/Inputs!$B$4^2*Inputs!$B$5/G15)</f>
        <v>1.00470505775497</v>
      </c>
      <c r="J15" s="2" t="n">
        <f aca="false">IF(C15="A",Inputs!$B$7,IF(C15="B",Inputs!$B$8,IF(C15="C",Inputs!$B$9,0)))</f>
        <v>0.5</v>
      </c>
      <c r="K15" s="2" t="n">
        <f aca="false">IF(AND(E15&lt;&gt;"",G15&lt;&gt;"",J15&gt;0),IF(I15&gt;=Inputs!$B$6,1,0),0)</f>
        <v>0</v>
      </c>
      <c r="L15" s="5" t="n">
        <v>0</v>
      </c>
      <c r="M15" s="5" t="n">
        <v>269.1793</v>
      </c>
      <c r="N15" s="5" t="n">
        <v>1.35</v>
      </c>
      <c r="O15" s="4" t="s">
        <v>64</v>
      </c>
      <c r="P15" s="2" t="n">
        <f aca="false">IF(K15=1,J15/G15^2,0)</f>
        <v>0</v>
      </c>
      <c r="Q15" s="2" t="n">
        <f aca="false">IF(K15=1,((E15-Result!$B$7*D15)/G15)^2,0)</f>
        <v>0</v>
      </c>
    </row>
    <row r="16" customFormat="false" ht="15" hidden="false" customHeight="false" outlineLevel="0" collapsed="false">
      <c r="A16" s="4" t="s">
        <v>61</v>
      </c>
      <c r="B16" s="4" t="s">
        <v>79</v>
      </c>
      <c r="C16" s="4" t="s">
        <v>66</v>
      </c>
      <c r="D16" s="5" t="n">
        <v>159.1896</v>
      </c>
      <c r="E16" s="5" t="n">
        <v>1.3</v>
      </c>
      <c r="F16" s="5" t="n">
        <v>0.00506311900519535</v>
      </c>
      <c r="G16" s="5" t="n">
        <v>1.3442</v>
      </c>
      <c r="H16" s="2" t="n">
        <f aca="false">D16*F16</f>
        <v>0.805995889189445</v>
      </c>
      <c r="I16" s="2" t="n">
        <f aca="false">IF(G16="","",D16*1000000/Inputs!$B$4^2*Inputs!$B$5/G16)</f>
        <v>0.601811833988144</v>
      </c>
      <c r="J16" s="2" t="n">
        <f aca="false">IF(C16="A",Inputs!$B$7,IF(C16="B",Inputs!$B$8,IF(C16="C",Inputs!$B$9,0)))</f>
        <v>0.5</v>
      </c>
      <c r="K16" s="2" t="n">
        <f aca="false">IF(AND(E16&lt;&gt;"",G16&lt;&gt;"",J16&gt;0),IF(I16&gt;=Inputs!$B$6,1,0),0)</f>
        <v>0</v>
      </c>
      <c r="L16" s="5" t="n">
        <v>0</v>
      </c>
      <c r="M16" s="5" t="n">
        <v>158.0181</v>
      </c>
      <c r="N16" s="5" t="n">
        <v>0.81</v>
      </c>
      <c r="O16" s="4" t="s">
        <v>64</v>
      </c>
      <c r="P16" s="2" t="n">
        <f aca="false">IF(K16=1,J16/G16^2,0)</f>
        <v>0</v>
      </c>
      <c r="Q16" s="2" t="n">
        <f aca="false">IF(K16=1,((E16-Result!$B$7*D16)/G16)^2,0)</f>
        <v>0</v>
      </c>
    </row>
    <row r="17" customFormat="false" ht="15" hidden="false" customHeight="false" outlineLevel="0" collapsed="false">
      <c r="A17" s="4" t="s">
        <v>61</v>
      </c>
      <c r="B17" s="4" t="s">
        <v>80</v>
      </c>
      <c r="C17" s="4" t="s">
        <v>81</v>
      </c>
      <c r="D17" s="5" t="n">
        <v>235.8218</v>
      </c>
      <c r="E17" s="5" t="n">
        <v>-1</v>
      </c>
      <c r="F17" s="5" t="n">
        <v>0.00506305459157253</v>
      </c>
      <c r="G17" s="5" t="n">
        <v>1.3442</v>
      </c>
      <c r="H17" s="2" t="n">
        <f aca="false">D17*F17</f>
        <v>1.1939786472829</v>
      </c>
      <c r="I17" s="2" t="n">
        <f aca="false">IF(G17="","",D17*1000000/Inputs!$B$4^2*Inputs!$B$5/G17)</f>
        <v>0.891517724476884</v>
      </c>
      <c r="J17" s="2" t="n">
        <f aca="false">IF(C17="A",Inputs!$B$7,IF(C17="B",Inputs!$B$8,IF(C17="C",Inputs!$B$9,0)))</f>
        <v>0.25</v>
      </c>
      <c r="K17" s="2" t="n">
        <f aca="false">IF(AND(E17&lt;&gt;"",G17&lt;&gt;"",J17&gt;0),IF(I17&gt;=Inputs!$B$6,1,0),0)</f>
        <v>0</v>
      </c>
      <c r="L17" s="5" t="n">
        <v>0</v>
      </c>
      <c r="M17" s="5" t="n">
        <v>235.8218</v>
      </c>
      <c r="N17" s="5" t="n">
        <v>1.22</v>
      </c>
      <c r="O17" s="4" t="s">
        <v>64</v>
      </c>
      <c r="P17" s="2" t="n">
        <f aca="false">IF(K17=1,J17/G17^2,0)</f>
        <v>0</v>
      </c>
      <c r="Q17" s="2" t="n">
        <f aca="false">IF(K17=1,((E17-Result!$B$7*D17)/G17)^2,0)</f>
        <v>0</v>
      </c>
    </row>
    <row r="18" customFormat="false" ht="15" hidden="false" customHeight="false" outlineLevel="0" collapsed="false">
      <c r="A18" s="4" t="s">
        <v>61</v>
      </c>
      <c r="B18" s="4" t="s">
        <v>82</v>
      </c>
      <c r="C18" s="4"/>
      <c r="D18" s="5" t="n">
        <v>166.4426</v>
      </c>
      <c r="E18" s="5"/>
      <c r="F18" s="5" t="n">
        <v>0.00506314975112736</v>
      </c>
      <c r="G18" s="5" t="n">
        <v>1.3442</v>
      </c>
      <c r="H18" s="2" t="n">
        <f aca="false">D18*F18</f>
        <v>0.84272380876699</v>
      </c>
      <c r="I18" s="2" t="n">
        <f aca="false">IF(G18="","",D18*1000000/Inputs!$B$4^2*Inputs!$B$5/G18)</f>
        <v>0.629231597791282</v>
      </c>
      <c r="J18" s="2" t="n">
        <f aca="false">IF(C18="A",Inputs!$B$7,IF(C18="B",Inputs!$B$8,IF(C18="C",Inputs!$B$9,0)))</f>
        <v>0</v>
      </c>
      <c r="K18" s="2" t="n">
        <f aca="false">IF(AND(E18&lt;&gt;"",G18&lt;&gt;"",J18&gt;0),IF(I18&gt;=Inputs!$B$6,1,0),0)</f>
        <v>0</v>
      </c>
      <c r="L18" s="5" t="n">
        <v>0</v>
      </c>
      <c r="M18" s="5" t="n">
        <v>166.4426</v>
      </c>
      <c r="N18" s="5" t="n">
        <v>0.85</v>
      </c>
      <c r="O18" s="4" t="s">
        <v>64</v>
      </c>
      <c r="P18" s="2" t="n">
        <f aca="false">IF(K18=1,J18/G18^2,0)</f>
        <v>0</v>
      </c>
      <c r="Q18" s="2" t="n">
        <f aca="false">IF(K18=1,((E18-Result!$B$7*D18)/G18)^2,0)</f>
        <v>0</v>
      </c>
    </row>
    <row r="19" customFormat="false" ht="15" hidden="false" customHeight="false" outlineLevel="0" collapsed="false">
      <c r="A19" s="4" t="s">
        <v>61</v>
      </c>
      <c r="B19" s="4" t="s">
        <v>83</v>
      </c>
      <c r="C19" s="4"/>
      <c r="D19" s="5" t="n">
        <v>179.4396</v>
      </c>
      <c r="E19" s="5"/>
      <c r="F19" s="5" t="n">
        <v>0.00506329971356477</v>
      </c>
      <c r="G19" s="5" t="n">
        <v>1.3442</v>
      </c>
      <c r="H19" s="2" t="n">
        <f aca="false">D19*F19</f>
        <v>0.908556475282176</v>
      </c>
      <c r="I19" s="2" t="n">
        <f aca="false">IF(G19="","",D19*1000000/Inputs!$B$4^2*Inputs!$B$5/G19)</f>
        <v>0.678366393069013</v>
      </c>
      <c r="J19" s="2" t="n">
        <f aca="false">IF(C19="A",Inputs!$B$7,IF(C19="B",Inputs!$B$8,IF(C19="C",Inputs!$B$9,0)))</f>
        <v>0</v>
      </c>
      <c r="K19" s="2" t="n">
        <f aca="false">IF(AND(E19&lt;&gt;"",G19&lt;&gt;"",J19&gt;0),IF(I19&gt;=Inputs!$B$6,1,0),0)</f>
        <v>0</v>
      </c>
      <c r="L19" s="5" t="n">
        <v>0</v>
      </c>
      <c r="M19" s="5" t="n">
        <v>179.4396</v>
      </c>
      <c r="N19" s="5" t="n">
        <v>0.91</v>
      </c>
      <c r="O19" s="4" t="s">
        <v>64</v>
      </c>
      <c r="P19" s="2" t="n">
        <f aca="false">IF(K19=1,J19/G19^2,0)</f>
        <v>0</v>
      </c>
      <c r="Q19" s="2" t="n">
        <f aca="false">IF(K19=1,((E19-Result!$B$7*D19)/G19)^2,0)</f>
        <v>0</v>
      </c>
    </row>
    <row r="20" customFormat="false" ht="15" hidden="false" customHeight="false" outlineLevel="0" collapsed="false">
      <c r="A20" s="4" t="s">
        <v>61</v>
      </c>
      <c r="B20" s="4" t="s">
        <v>84</v>
      </c>
      <c r="C20" s="4"/>
      <c r="D20" s="5" t="n">
        <v>205.1427</v>
      </c>
      <c r="E20" s="5"/>
      <c r="F20" s="5" t="n">
        <v>0.0050631630267665</v>
      </c>
      <c r="G20" s="5" t="n">
        <v>1.3442</v>
      </c>
      <c r="H20" s="2" t="n">
        <f aca="false">D20*F20</f>
        <v>1.03867093385105</v>
      </c>
      <c r="I20" s="2" t="n">
        <f aca="false">IF(G20="","",D20*1000000/Inputs!$B$4^2*Inputs!$B$5/G20)</f>
        <v>0.775536244304148</v>
      </c>
      <c r="J20" s="2" t="n">
        <f aca="false">IF(C20="A",Inputs!$B$7,IF(C20="B",Inputs!$B$8,IF(C20="C",Inputs!$B$9,0)))</f>
        <v>0</v>
      </c>
      <c r="K20" s="2" t="n">
        <f aca="false">IF(AND(E20&lt;&gt;"",G20&lt;&gt;"",J20&gt;0),IF(I20&gt;=Inputs!$B$6,1,0),0)</f>
        <v>0</v>
      </c>
      <c r="L20" s="5" t="n">
        <v>0</v>
      </c>
      <c r="M20" s="5" t="n">
        <v>205.1427</v>
      </c>
      <c r="N20" s="5" t="n">
        <v>1.05</v>
      </c>
      <c r="O20" s="4" t="s">
        <v>64</v>
      </c>
      <c r="P20" s="2" t="n">
        <f aca="false">IF(K20=1,J20/G20^2,0)</f>
        <v>0</v>
      </c>
      <c r="Q20" s="2" t="n">
        <f aca="false">IF(K20=1,((E20-Result!$B$7*D20)/G20)^2,0)</f>
        <v>0</v>
      </c>
    </row>
    <row r="21" customFormat="false" ht="15" hidden="false" customHeight="false" outlineLevel="0" collapsed="false">
      <c r="A21" s="4" t="s">
        <v>61</v>
      </c>
      <c r="B21" s="4" t="s">
        <v>85</v>
      </c>
      <c r="C21" s="4"/>
      <c r="D21" s="5" t="n">
        <v>130.7041</v>
      </c>
      <c r="E21" s="5"/>
      <c r="F21" s="5" t="n">
        <v>0.00506328411108725</v>
      </c>
      <c r="G21" s="5" t="n">
        <v>1.3442</v>
      </c>
      <c r="H21" s="2" t="n">
        <f aca="false">D21*F21</f>
        <v>0.661791992783959</v>
      </c>
      <c r="I21" s="2" t="n">
        <f aca="false">IF(G21="","",D21*1000000/Inputs!$B$4^2*Inputs!$B$5/G21)</f>
        <v>0.494123197311695</v>
      </c>
      <c r="J21" s="2" t="n">
        <f aca="false">IF(C21="A",Inputs!$B$7,IF(C21="B",Inputs!$B$8,IF(C21="C",Inputs!$B$9,0)))</f>
        <v>0</v>
      </c>
      <c r="K21" s="2" t="n">
        <f aca="false">IF(AND(E21&lt;&gt;"",G21&lt;&gt;"",J21&gt;0),IF(I21&gt;=Inputs!$B$6,1,0),0)</f>
        <v>0</v>
      </c>
      <c r="L21" s="5" t="n">
        <v>0</v>
      </c>
      <c r="M21" s="5" t="n">
        <v>130.7041</v>
      </c>
      <c r="N21" s="5" t="n">
        <v>0.67</v>
      </c>
      <c r="O21" s="4" t="s">
        <v>64</v>
      </c>
      <c r="P21" s="2" t="n">
        <f aca="false">IF(K21=1,J21/G21^2,0)</f>
        <v>0</v>
      </c>
      <c r="Q21" s="2" t="n">
        <f aca="false">IF(K21=1,((E21-Result!$B$7*D21)/G21)^2,0)</f>
        <v>0</v>
      </c>
    </row>
    <row r="22" customFormat="false" ht="15" hidden="false" customHeight="false" outlineLevel="0" collapsed="false">
      <c r="A22" s="4" t="s">
        <v>61</v>
      </c>
      <c r="B22" s="4" t="s">
        <v>86</v>
      </c>
      <c r="C22" s="4"/>
      <c r="D22" s="5" t="n">
        <v>194.4977</v>
      </c>
      <c r="E22" s="5"/>
      <c r="F22" s="5" t="n">
        <v>0.00506336236093737</v>
      </c>
      <c r="G22" s="5" t="n">
        <v>1.3442</v>
      </c>
      <c r="H22" s="2" t="n">
        <f aca="false">D22*F22</f>
        <v>0.984812333468889</v>
      </c>
      <c r="I22" s="2" t="n">
        <f aca="false">IF(G22="","",D22*1000000/Inputs!$B$4^2*Inputs!$B$5/G22)</f>
        <v>0.735293119295958</v>
      </c>
      <c r="J22" s="2" t="n">
        <f aca="false">IF(C22="A",Inputs!$B$7,IF(C22="B",Inputs!$B$8,IF(C22="C",Inputs!$B$9,0)))</f>
        <v>0</v>
      </c>
      <c r="K22" s="2" t="n">
        <f aca="false">IF(AND(E22&lt;&gt;"",G22&lt;&gt;"",J22&gt;0),IF(I22&gt;=Inputs!$B$6,1,0),0)</f>
        <v>0</v>
      </c>
      <c r="L22" s="5" t="n">
        <v>0</v>
      </c>
      <c r="M22" s="5" t="n">
        <v>194.4977</v>
      </c>
      <c r="N22" s="5" t="n">
        <v>0.99</v>
      </c>
      <c r="O22" s="4" t="s">
        <v>64</v>
      </c>
      <c r="P22" s="2" t="n">
        <f aca="false">IF(K22=1,J22/G22^2,0)</f>
        <v>0</v>
      </c>
      <c r="Q22" s="2" t="n">
        <f aca="false">IF(K22=1,((E22-Result!$B$7*D22)/G22)^2,0)</f>
        <v>0</v>
      </c>
    </row>
    <row r="23" customFormat="false" ht="15" hidden="false" customHeight="false" outlineLevel="0" collapsed="false">
      <c r="A23" s="4" t="s">
        <v>61</v>
      </c>
      <c r="B23" s="4" t="s">
        <v>87</v>
      </c>
      <c r="C23" s="4"/>
      <c r="D23" s="5" t="n">
        <v>128.7996</v>
      </c>
      <c r="E23" s="5"/>
      <c r="F23" s="5" t="n">
        <v>0.00506335827673525</v>
      </c>
      <c r="G23" s="5" t="n">
        <v>1.3442</v>
      </c>
      <c r="H23" s="2" t="n">
        <f aca="false">D23*F23</f>
        <v>0.65215852070019</v>
      </c>
      <c r="I23" s="2" t="n">
        <f aca="false">IF(G23="","",D23*1000000/Inputs!$B$4^2*Inputs!$B$5/G23)</f>
        <v>0.48692328828604</v>
      </c>
      <c r="J23" s="2" t="n">
        <f aca="false">IF(C23="A",Inputs!$B$7,IF(C23="B",Inputs!$B$8,IF(C23="C",Inputs!$B$9,0)))</f>
        <v>0</v>
      </c>
      <c r="K23" s="2" t="n">
        <f aca="false">IF(AND(E23&lt;&gt;"",G23&lt;&gt;"",J23&gt;0),IF(I23&gt;=Inputs!$B$6,1,0),0)</f>
        <v>0</v>
      </c>
      <c r="L23" s="5" t="n">
        <v>0</v>
      </c>
      <c r="M23" s="5" t="n">
        <v>128.7996</v>
      </c>
      <c r="N23" s="5" t="n">
        <v>0.33</v>
      </c>
      <c r="O23" s="4" t="s">
        <v>64</v>
      </c>
      <c r="P23" s="2" t="n">
        <f aca="false">IF(K23=1,J23/G23^2,0)</f>
        <v>0</v>
      </c>
      <c r="Q23" s="2" t="n">
        <f aca="false">IF(K23=1,((E23-Result!$B$7*D23)/G23)^2,0)</f>
        <v>0</v>
      </c>
    </row>
    <row r="24" customFormat="false" ht="15" hidden="false" customHeight="false" outlineLevel="0" collapsed="false">
      <c r="A24" s="4" t="s">
        <v>61</v>
      </c>
      <c r="B24" s="4" t="s">
        <v>88</v>
      </c>
      <c r="C24" s="4" t="s">
        <v>63</v>
      </c>
      <c r="D24" s="5" t="n">
        <v>41.5336</v>
      </c>
      <c r="E24" s="5" t="n">
        <v>-0.25</v>
      </c>
      <c r="F24" s="5" t="n">
        <v>0.00506330860091858</v>
      </c>
      <c r="G24" s="5" t="n">
        <v>1.3442</v>
      </c>
      <c r="H24" s="2" t="n">
        <f aca="false">D24*F24</f>
        <v>0.210297434107112</v>
      </c>
      <c r="I24" s="2" t="n">
        <f aca="false">IF(G24="","",D24*1000000/Inputs!$B$4^2*Inputs!$B$5/G24)</f>
        <v>0.157016614076108</v>
      </c>
      <c r="J24" s="2" t="n">
        <f aca="false">IF(C24="A",Inputs!$B$7,IF(C24="B",Inputs!$B$8,IF(C24="C",Inputs!$B$9,0)))</f>
        <v>1</v>
      </c>
      <c r="K24" s="2" t="n">
        <f aca="false">IF(AND(E24&lt;&gt;"",G24&lt;&gt;"",J24&gt;0),IF(I24&gt;=Inputs!$B$6,1,0),0)</f>
        <v>0</v>
      </c>
      <c r="L24" s="5" t="n">
        <v>0</v>
      </c>
      <c r="M24" s="5" t="n">
        <v>41.3368</v>
      </c>
      <c r="N24" s="5" t="n">
        <v>0.21</v>
      </c>
      <c r="O24" s="4" t="s">
        <v>64</v>
      </c>
      <c r="P24" s="2" t="n">
        <f aca="false">IF(K24=1,J24/G24^2,0)</f>
        <v>0</v>
      </c>
      <c r="Q24" s="2" t="n">
        <f aca="false">IF(K24=1,((E24-Result!$B$7*D24)/G24)^2,0)</f>
        <v>0</v>
      </c>
    </row>
    <row r="25" customFormat="false" ht="15" hidden="false" customHeight="false" outlineLevel="0" collapsed="false">
      <c r="A25" s="4" t="s">
        <v>61</v>
      </c>
      <c r="B25" s="4" t="s">
        <v>89</v>
      </c>
      <c r="C25" s="4" t="s">
        <v>66</v>
      </c>
      <c r="D25" s="5" t="n">
        <v>17.2825</v>
      </c>
      <c r="E25" s="5" t="n">
        <v>-2</v>
      </c>
      <c r="F25" s="5" t="n">
        <v>0.0050632592595115</v>
      </c>
      <c r="G25" s="5" t="n">
        <v>1.3442</v>
      </c>
      <c r="H25" s="2" t="n">
        <f aca="false">D25*F25</f>
        <v>0.0875057781525075</v>
      </c>
      <c r="I25" s="2" t="n">
        <f aca="false">IF(G25="","",D25*1000000/Inputs!$B$4^2*Inputs!$B$5/G25)</f>
        <v>0.065336008262475</v>
      </c>
      <c r="J25" s="2" t="n">
        <f aca="false">IF(C25="A",Inputs!$B$7,IF(C25="B",Inputs!$B$8,IF(C25="C",Inputs!$B$9,0)))</f>
        <v>0.5</v>
      </c>
      <c r="K25" s="2" t="n">
        <f aca="false">IF(AND(E25&lt;&gt;"",G25&lt;&gt;"",J25&gt;0),IF(I25&gt;=Inputs!$B$6,1,0),0)</f>
        <v>0</v>
      </c>
      <c r="L25" s="5" t="n">
        <v>0</v>
      </c>
      <c r="M25" s="5" t="n">
        <v>17.2017</v>
      </c>
      <c r="N25" s="5" t="n">
        <v>0.09</v>
      </c>
      <c r="O25" s="4" t="s">
        <v>64</v>
      </c>
      <c r="P25" s="2" t="n">
        <f aca="false">IF(K25=1,J25/G25^2,0)</f>
        <v>0</v>
      </c>
      <c r="Q25" s="2" t="n">
        <f aca="false">IF(K25=1,((E25-Result!$B$7*D25)/G25)^2,0)</f>
        <v>0</v>
      </c>
    </row>
    <row r="26" customFormat="false" ht="15" hidden="false" customHeight="false" outlineLevel="0" collapsed="false">
      <c r="A26" s="4" t="s">
        <v>61</v>
      </c>
      <c r="B26" s="4" t="s">
        <v>90</v>
      </c>
      <c r="C26" s="4" t="s">
        <v>66</v>
      </c>
      <c r="D26" s="5" t="n">
        <v>57.9645</v>
      </c>
      <c r="E26" s="5" t="n">
        <v>1</v>
      </c>
      <c r="F26" s="5" t="n">
        <v>0.00506324738636828</v>
      </c>
      <c r="G26" s="5" t="n">
        <v>1.3442</v>
      </c>
      <c r="H26" s="2" t="n">
        <f aca="false">D26*F26</f>
        <v>0.293488603127144</v>
      </c>
      <c r="I26" s="2" t="n">
        <f aca="false">IF(G26="","",D26*1000000/Inputs!$B$4^2*Inputs!$B$5/G26)</f>
        <v>0.219133172337928</v>
      </c>
      <c r="J26" s="2" t="n">
        <f aca="false">IF(C26="A",Inputs!$B$7,IF(C26="B",Inputs!$B$8,IF(C26="C",Inputs!$B$9,0)))</f>
        <v>0.5</v>
      </c>
      <c r="K26" s="2" t="n">
        <f aca="false">IF(AND(E26&lt;&gt;"",G26&lt;&gt;"",J26&gt;0),IF(I26&gt;=Inputs!$B$6,1,0),0)</f>
        <v>0</v>
      </c>
      <c r="L26" s="5" t="n">
        <v>0</v>
      </c>
      <c r="M26" s="5" t="n">
        <v>57.6923</v>
      </c>
      <c r="N26" s="5" t="n">
        <v>0.29</v>
      </c>
      <c r="O26" s="4" t="s">
        <v>64</v>
      </c>
      <c r="P26" s="2" t="n">
        <f aca="false">IF(K26=1,J26/G26^2,0)</f>
        <v>0</v>
      </c>
      <c r="Q26" s="2" t="n">
        <f aca="false">IF(K26=1,((E26-Result!$B$7*D26)/G26)^2,0)</f>
        <v>0</v>
      </c>
    </row>
    <row r="27" customFormat="false" ht="15" hidden="false" customHeight="false" outlineLevel="0" collapsed="false">
      <c r="A27" s="4" t="s">
        <v>61</v>
      </c>
      <c r="B27" s="4" t="s">
        <v>91</v>
      </c>
      <c r="C27" s="4"/>
      <c r="D27" s="5" t="n">
        <v>115.4315</v>
      </c>
      <c r="E27" s="5"/>
      <c r="F27" s="5" t="n">
        <v>0.00506327366120508</v>
      </c>
      <c r="G27" s="5" t="n">
        <v>1.3442</v>
      </c>
      <c r="H27" s="2" t="n">
        <f aca="false">D27*F27</f>
        <v>0.584461273623394</v>
      </c>
      <c r="I27" s="2" t="n">
        <f aca="false">IF(G27="","",D27*1000000/Inputs!$B$4^2*Inputs!$B$5/G27)</f>
        <v>0.436385559829301</v>
      </c>
      <c r="J27" s="2" t="n">
        <f aca="false">IF(C27="A",Inputs!$B$7,IF(C27="B",Inputs!$B$8,IF(C27="C",Inputs!$B$9,0)))</f>
        <v>0</v>
      </c>
      <c r="K27" s="2" t="n">
        <f aca="false">IF(AND(E27&lt;&gt;"",G27&lt;&gt;"",J27&gt;0),IF(I27&gt;=Inputs!$B$6,1,0),0)</f>
        <v>0</v>
      </c>
      <c r="L27" s="5" t="n">
        <v>0</v>
      </c>
      <c r="M27" s="5" t="n">
        <v>115.4315</v>
      </c>
      <c r="N27" s="5" t="n">
        <v>0.59</v>
      </c>
      <c r="O27" s="4" t="s">
        <v>64</v>
      </c>
      <c r="P27" s="2" t="n">
        <f aca="false">IF(K27=1,J27/G27^2,0)</f>
        <v>0</v>
      </c>
      <c r="Q27" s="2" t="n">
        <f aca="false">IF(K27=1,((E27-Result!$B$7*D27)/G27)^2,0)</f>
        <v>0</v>
      </c>
    </row>
    <row r="28" customFormat="false" ht="15" hidden="false" customHeight="false" outlineLevel="0" collapsed="false">
      <c r="A28" s="4" t="s">
        <v>61</v>
      </c>
      <c r="B28" s="4" t="s">
        <v>92</v>
      </c>
      <c r="C28" s="4"/>
      <c r="D28" s="5" t="n">
        <v>30.8382</v>
      </c>
      <c r="E28" s="5"/>
      <c r="F28" s="5" t="n">
        <v>0.00506323402373692</v>
      </c>
      <c r="G28" s="5" t="n">
        <v>1.3442</v>
      </c>
      <c r="H28" s="2" t="n">
        <f aca="false">D28*F28</f>
        <v>0.156141023470804</v>
      </c>
      <c r="I28" s="2" t="n">
        <f aca="false">IF(G28="","",D28*1000000/Inputs!$B$4^2*Inputs!$B$5/G28)</f>
        <v>0.116582953276427</v>
      </c>
      <c r="J28" s="2" t="n">
        <f aca="false">IF(C28="A",Inputs!$B$7,IF(C28="B",Inputs!$B$8,IF(C28="C",Inputs!$B$9,0)))</f>
        <v>0</v>
      </c>
      <c r="K28" s="2" t="n">
        <f aca="false">IF(AND(E28&lt;&gt;"",G28&lt;&gt;"",J28&gt;0),IF(I28&gt;=Inputs!$B$6,1,0),0)</f>
        <v>0</v>
      </c>
      <c r="L28" s="5" t="n">
        <v>0</v>
      </c>
      <c r="M28" s="5" t="n">
        <v>30.8382</v>
      </c>
      <c r="N28" s="5" t="n">
        <v>0.16</v>
      </c>
      <c r="O28" s="4" t="s">
        <v>64</v>
      </c>
      <c r="P28" s="2" t="n">
        <f aca="false">IF(K28=1,J28/G28^2,0)</f>
        <v>0</v>
      </c>
      <c r="Q28" s="2" t="n">
        <f aca="false">IF(K28=1,((E28-Result!$B$7*D28)/G28)^2,0)</f>
        <v>0</v>
      </c>
    </row>
    <row r="29" customFormat="false" ht="15" hidden="false" customHeight="false" outlineLevel="0" collapsed="false">
      <c r="A29" s="4" t="s">
        <v>61</v>
      </c>
      <c r="B29" s="4" t="s">
        <v>93</v>
      </c>
      <c r="C29" s="4"/>
      <c r="D29" s="5" t="n">
        <v>51.4034</v>
      </c>
      <c r="E29" s="5"/>
      <c r="F29" s="5" t="n">
        <v>0.0050632602962732</v>
      </c>
      <c r="G29" s="5" t="n">
        <v>1.3442</v>
      </c>
      <c r="H29" s="2" t="n">
        <f aca="false">D29*F29</f>
        <v>0.26026879431345</v>
      </c>
      <c r="I29" s="2" t="n">
        <f aca="false">IF(G29="","",D29*1000000/Inputs!$B$4^2*Inputs!$B$5/G29)</f>
        <v>0.194329117148521</v>
      </c>
      <c r="J29" s="2" t="n">
        <f aca="false">IF(C29="A",Inputs!$B$7,IF(C29="B",Inputs!$B$8,IF(C29="C",Inputs!$B$9,0)))</f>
        <v>0</v>
      </c>
      <c r="K29" s="2" t="n">
        <f aca="false">IF(AND(E29&lt;&gt;"",G29&lt;&gt;"",J29&gt;0),IF(I29&gt;=Inputs!$B$6,1,0),0)</f>
        <v>0</v>
      </c>
      <c r="L29" s="5" t="n">
        <v>0</v>
      </c>
      <c r="M29" s="5" t="n">
        <v>51.4034</v>
      </c>
      <c r="N29" s="5" t="n">
        <v>0.27</v>
      </c>
      <c r="O29" s="4" t="s">
        <v>64</v>
      </c>
      <c r="P29" s="2" t="n">
        <f aca="false">IF(K29=1,J29/G29^2,0)</f>
        <v>0</v>
      </c>
      <c r="Q29" s="2" t="n">
        <f aca="false">IF(K29=1,((E29-Result!$B$7*D29)/G29)^2,0)</f>
        <v>0</v>
      </c>
    </row>
    <row r="30" customFormat="false" ht="15" hidden="false" customHeight="false" outlineLevel="0" collapsed="false">
      <c r="A30" s="4" t="s">
        <v>61</v>
      </c>
      <c r="B30" s="4" t="s">
        <v>94</v>
      </c>
      <c r="C30" s="4"/>
      <c r="D30" s="5" t="n">
        <v>114.7453</v>
      </c>
      <c r="E30" s="5"/>
      <c r="F30" s="5" t="n">
        <v>0.00506334490445395</v>
      </c>
      <c r="G30" s="5" t="n">
        <v>1.3442</v>
      </c>
      <c r="H30" s="2" t="n">
        <f aca="false">D30*F30</f>
        <v>0.58099503006504</v>
      </c>
      <c r="I30" s="2" t="n">
        <f aca="false">IF(G30="","",D30*1000000/Inputs!$B$4^2*Inputs!$B$5/G30)</f>
        <v>0.433791399906274</v>
      </c>
      <c r="J30" s="2" t="n">
        <f aca="false">IF(C30="A",Inputs!$B$7,IF(C30="B",Inputs!$B$8,IF(C30="C",Inputs!$B$9,0)))</f>
        <v>0</v>
      </c>
      <c r="K30" s="2" t="n">
        <f aca="false">IF(AND(E30&lt;&gt;"",G30&lt;&gt;"",J30&gt;0),IF(I30&gt;=Inputs!$B$6,1,0),0)</f>
        <v>0</v>
      </c>
      <c r="L30" s="5" t="n">
        <v>0</v>
      </c>
      <c r="M30" s="5" t="n">
        <v>114.7453</v>
      </c>
      <c r="N30" s="5" t="n">
        <v>0.59</v>
      </c>
      <c r="O30" s="4" t="s">
        <v>64</v>
      </c>
      <c r="P30" s="2" t="n">
        <f aca="false">IF(K30=1,J30/G30^2,0)</f>
        <v>0</v>
      </c>
      <c r="Q30" s="2" t="n">
        <f aca="false">IF(K30=1,((E30-Result!$B$7*D30)/G30)^2,0)</f>
        <v>0</v>
      </c>
    </row>
    <row r="31" customFormat="false" ht="15" hidden="false" customHeight="false" outlineLevel="0" collapsed="false">
      <c r="A31" s="4" t="s">
        <v>61</v>
      </c>
      <c r="B31" s="4" t="s">
        <v>95</v>
      </c>
      <c r="C31" s="4" t="s">
        <v>81</v>
      </c>
      <c r="D31" s="5" t="n">
        <v>10.6993</v>
      </c>
      <c r="E31" s="5" t="n">
        <v>0</v>
      </c>
      <c r="F31" s="5" t="n">
        <v>0.00506318498594203</v>
      </c>
      <c r="G31" s="5" t="n">
        <v>1.3442</v>
      </c>
      <c r="H31" s="2" t="n">
        <f aca="false">D31*F31</f>
        <v>0.0541725351200896</v>
      </c>
      <c r="I31" s="2" t="n">
        <f aca="false">IF(G31="","",D31*1000000/Inputs!$B$4^2*Inputs!$B$5/G31)</f>
        <v>0.0404484046406885</v>
      </c>
      <c r="J31" s="2" t="n">
        <f aca="false">IF(C31="A",Inputs!$B$7,IF(C31="B",Inputs!$B$8,IF(C31="C",Inputs!$B$9,0)))</f>
        <v>0.25</v>
      </c>
      <c r="K31" s="2" t="n">
        <f aca="false">IF(AND(E31&lt;&gt;"",G31&lt;&gt;"",J31&gt;0),IF(I31&gt;=Inputs!$B$6,1,0),0)</f>
        <v>0</v>
      </c>
      <c r="L31" s="5" t="n">
        <v>0</v>
      </c>
      <c r="M31" s="5" t="n">
        <v>10.6993</v>
      </c>
      <c r="N31" s="5" t="n">
        <v>0.06</v>
      </c>
      <c r="O31" s="4" t="s">
        <v>64</v>
      </c>
      <c r="P31" s="2" t="n">
        <f aca="false">IF(K31=1,J31/G31^2,0)</f>
        <v>0</v>
      </c>
      <c r="Q31" s="2" t="n">
        <f aca="false">IF(K31=1,((E31-Result!$B$7*D31)/G31)^2,0)</f>
        <v>0</v>
      </c>
    </row>
    <row r="32" customFormat="false" ht="15" hidden="false" customHeight="false" outlineLevel="0" collapsed="false">
      <c r="A32" s="4" t="s">
        <v>61</v>
      </c>
      <c r="B32" s="4" t="s">
        <v>96</v>
      </c>
      <c r="C32" s="4" t="s">
        <v>66</v>
      </c>
      <c r="D32" s="5" t="n">
        <v>25.4721</v>
      </c>
      <c r="E32" s="5" t="n">
        <v>0</v>
      </c>
      <c r="F32" s="5" t="n">
        <v>0.00506317882211952</v>
      </c>
      <c r="G32" s="5" t="n">
        <v>1.3442</v>
      </c>
      <c r="H32" s="2" t="n">
        <f aca="false">D32*F32</f>
        <v>0.128969797274911</v>
      </c>
      <c r="I32" s="2" t="n">
        <f aca="false">IF(G32="","",D32*1000000/Inputs!$B$4^2*Inputs!$B$5/G32)</f>
        <v>0.0962965621908052</v>
      </c>
      <c r="J32" s="2" t="n">
        <f aca="false">IF(C32="A",Inputs!$B$7,IF(C32="B",Inputs!$B$8,IF(C32="C",Inputs!$B$9,0)))</f>
        <v>0.5</v>
      </c>
      <c r="K32" s="2" t="n">
        <f aca="false">IF(AND(E32&lt;&gt;"",G32&lt;&gt;"",J32&gt;0),IF(I32&gt;=Inputs!$B$6,1,0),0)</f>
        <v>0</v>
      </c>
      <c r="L32" s="5" t="n">
        <v>0</v>
      </c>
      <c r="M32" s="5" t="n">
        <v>25.3696</v>
      </c>
      <c r="N32" s="5" t="n">
        <v>0.13</v>
      </c>
      <c r="O32" s="4" t="s">
        <v>64</v>
      </c>
      <c r="P32" s="2" t="n">
        <f aca="false">IF(K32=1,J32/G32^2,0)</f>
        <v>0</v>
      </c>
      <c r="Q32" s="2" t="n">
        <f aca="false">IF(K32=1,((E32-Result!$B$7*D32)/G32)^2,0)</f>
        <v>0</v>
      </c>
    </row>
    <row r="33" customFormat="false" ht="15" hidden="false" customHeight="false" outlineLevel="0" collapsed="false">
      <c r="A33" s="4" t="s">
        <v>61</v>
      </c>
      <c r="B33" s="4" t="s">
        <v>97</v>
      </c>
      <c r="C33" s="4"/>
      <c r="D33" s="5" t="n">
        <v>133.7011</v>
      </c>
      <c r="E33" s="5"/>
      <c r="F33" s="5" t="n">
        <v>0.00506327601679142</v>
      </c>
      <c r="G33" s="5" t="n">
        <v>1.3442</v>
      </c>
      <c r="H33" s="2" t="n">
        <f aca="false">D33*F33</f>
        <v>0.676965573048632</v>
      </c>
      <c r="I33" s="2" t="n">
        <f aca="false">IF(G33="","",D33*1000000/Inputs!$B$4^2*Inputs!$B$5/G33)</f>
        <v>0.505453272055663</v>
      </c>
      <c r="J33" s="2" t="n">
        <f aca="false">IF(C33="A",Inputs!$B$7,IF(C33="B",Inputs!$B$8,IF(C33="C",Inputs!$B$9,0)))</f>
        <v>0</v>
      </c>
      <c r="K33" s="2" t="n">
        <f aca="false">IF(AND(E33&lt;&gt;"",G33&lt;&gt;"",J33&gt;0),IF(I33&gt;=Inputs!$B$6,1,0),0)</f>
        <v>0</v>
      </c>
      <c r="L33" s="5" t="n">
        <v>0</v>
      </c>
      <c r="M33" s="5" t="n">
        <v>133.7011</v>
      </c>
      <c r="N33" s="5" t="n">
        <v>0.69</v>
      </c>
      <c r="O33" s="4" t="s">
        <v>64</v>
      </c>
      <c r="P33" s="2" t="n">
        <f aca="false">IF(K33=1,J33/G33^2,0)</f>
        <v>0</v>
      </c>
      <c r="Q33" s="2" t="n">
        <f aca="false">IF(K33=1,((E33-Result!$B$7*D33)/G33)^2,0)</f>
        <v>0</v>
      </c>
    </row>
    <row r="34" customFormat="false" ht="15" hidden="false" customHeight="false" outlineLevel="0" collapsed="false">
      <c r="A34" s="4" t="s">
        <v>61</v>
      </c>
      <c r="B34" s="4" t="s">
        <v>98</v>
      </c>
      <c r="C34" s="4"/>
      <c r="D34" s="5" t="n">
        <v>1451.3323</v>
      </c>
      <c r="E34" s="5"/>
      <c r="F34" s="5" t="n">
        <v>0.00506342969888607</v>
      </c>
      <c r="G34" s="5" t="n">
        <v>1.3442</v>
      </c>
      <c r="H34" s="2" t="n">
        <f aca="false">D34*F34</f>
        <v>7.34871907077263</v>
      </c>
      <c r="I34" s="2" t="n">
        <f aca="false">IF(G34="","",D34*1000000/Inputs!$B$4^2*Inputs!$B$5/G34)</f>
        <v>5.48672120031228</v>
      </c>
      <c r="J34" s="2" t="n">
        <f aca="false">IF(C34="A",Inputs!$B$7,IF(C34="B",Inputs!$B$8,IF(C34="C",Inputs!$B$9,0)))</f>
        <v>0</v>
      </c>
      <c r="K34" s="2" t="n">
        <f aca="false">IF(AND(E34&lt;&gt;"",G34&lt;&gt;"",J34&gt;0),IF(I34&gt;=Inputs!$B$6,1,0),0)</f>
        <v>0</v>
      </c>
      <c r="L34" s="5" t="n">
        <v>0</v>
      </c>
      <c r="M34" s="5" t="n">
        <v>1451.3323</v>
      </c>
      <c r="N34" s="5" t="n">
        <v>7.4</v>
      </c>
      <c r="O34" s="4" t="s">
        <v>64</v>
      </c>
      <c r="P34" s="2" t="n">
        <f aca="false">IF(K34=1,J34/G34^2,0)</f>
        <v>0</v>
      </c>
      <c r="Q34" s="2" t="n">
        <f aca="false">IF(K34=1,((E34-Result!$B$7*D34)/G34)^2,0)</f>
        <v>0</v>
      </c>
    </row>
    <row r="35" customFormat="false" ht="15" hidden="false" customHeight="false" outlineLevel="0" collapsed="false">
      <c r="A35" s="4" t="s">
        <v>61</v>
      </c>
      <c r="B35" s="4" t="s">
        <v>99</v>
      </c>
      <c r="C35" s="4"/>
      <c r="D35" s="5" t="n">
        <v>937.8161</v>
      </c>
      <c r="E35" s="5"/>
      <c r="F35" s="5" t="n">
        <v>0.00506334907550925</v>
      </c>
      <c r="G35" s="5" t="n">
        <v>1.3442</v>
      </c>
      <c r="H35" s="2" t="n">
        <f aca="false">D35*F35</f>
        <v>4.74849028293269</v>
      </c>
      <c r="I35" s="2" t="n">
        <f aca="false">IF(G35="","",D35*1000000/Inputs!$B$4^2*Inputs!$B$5/G35)</f>
        <v>3.54538755725631</v>
      </c>
      <c r="J35" s="2" t="n">
        <f aca="false">IF(C35="A",Inputs!$B$7,IF(C35="B",Inputs!$B$8,IF(C35="C",Inputs!$B$9,0)))</f>
        <v>0</v>
      </c>
      <c r="K35" s="2" t="n">
        <f aca="false">IF(AND(E35&lt;&gt;"",G35&lt;&gt;"",J35&gt;0),IF(I35&gt;=Inputs!$B$6,1,0),0)</f>
        <v>0</v>
      </c>
      <c r="L35" s="5" t="n">
        <v>0</v>
      </c>
      <c r="M35" s="5" t="n">
        <v>937.8161</v>
      </c>
      <c r="N35" s="5" t="n">
        <v>4.78</v>
      </c>
      <c r="O35" s="4" t="s">
        <v>64</v>
      </c>
      <c r="P35" s="2" t="n">
        <f aca="false">IF(K35=1,J35/G35^2,0)</f>
        <v>0</v>
      </c>
      <c r="Q35" s="2" t="n">
        <f aca="false">IF(K35=1,((E35-Result!$B$7*D35)/G35)^2,0)</f>
        <v>0</v>
      </c>
    </row>
    <row r="36" customFormat="false" ht="15" hidden="false" customHeight="false" outlineLevel="0" collapsed="false">
      <c r="A36" s="4" t="s">
        <v>61</v>
      </c>
      <c r="B36" s="4" t="s">
        <v>100</v>
      </c>
      <c r="C36" s="4"/>
      <c r="D36" s="5" t="n">
        <v>361.7423</v>
      </c>
      <c r="E36" s="5"/>
      <c r="F36" s="5" t="n">
        <v>0.00506341113138059</v>
      </c>
      <c r="G36" s="5" t="n">
        <v>1.3442</v>
      </c>
      <c r="H36" s="2" t="n">
        <f aca="false">D36*F36</f>
        <v>1.83164998851122</v>
      </c>
      <c r="I36" s="2" t="n">
        <f aca="false">IF(G36="","",D36*1000000/Inputs!$B$4^2*Inputs!$B$5/G36)</f>
        <v>1.36755665567405</v>
      </c>
      <c r="J36" s="2" t="n">
        <f aca="false">IF(C36="A",Inputs!$B$7,IF(C36="B",Inputs!$B$8,IF(C36="C",Inputs!$B$9,0)))</f>
        <v>0</v>
      </c>
      <c r="K36" s="2" t="n">
        <f aca="false">IF(AND(E36&lt;&gt;"",G36&lt;&gt;"",J36&gt;0),IF(I36&gt;=Inputs!$B$6,1,0),0)</f>
        <v>0</v>
      </c>
      <c r="L36" s="5" t="n">
        <v>0</v>
      </c>
      <c r="M36" s="5" t="n">
        <v>361.7423</v>
      </c>
      <c r="N36" s="5" t="n">
        <v>1.84</v>
      </c>
      <c r="O36" s="4" t="s">
        <v>64</v>
      </c>
      <c r="P36" s="2" t="n">
        <f aca="false">IF(K36=1,J36/G36^2,0)</f>
        <v>0</v>
      </c>
      <c r="Q36" s="2" t="n">
        <f aca="false">IF(K36=1,((E36-Result!$B$7*D36)/G36)^2,0)</f>
        <v>0</v>
      </c>
    </row>
    <row r="37" customFormat="false" ht="15" hidden="false" customHeight="false" outlineLevel="0" collapsed="false">
      <c r="A37" s="4" t="s">
        <v>61</v>
      </c>
      <c r="B37" s="4" t="s">
        <v>101</v>
      </c>
      <c r="C37" s="4"/>
      <c r="D37" s="5" t="n">
        <v>163.999</v>
      </c>
      <c r="E37" s="5"/>
      <c r="F37" s="5" t="n">
        <v>0.00506331767389047</v>
      </c>
      <c r="G37" s="5" t="n">
        <v>1.3442</v>
      </c>
      <c r="H37" s="2" t="n">
        <f aca="false">D37*F37</f>
        <v>0.830379035200364</v>
      </c>
      <c r="I37" s="2" t="n">
        <f aca="false">IF(G37="","",D37*1000000/Inputs!$B$4^2*Inputs!$B$5/G37)</f>
        <v>0.619993636281652</v>
      </c>
      <c r="J37" s="2" t="n">
        <f aca="false">IF(C37="A",Inputs!$B$7,IF(C37="B",Inputs!$B$8,IF(C37="C",Inputs!$B$9,0)))</f>
        <v>0</v>
      </c>
      <c r="K37" s="2" t="n">
        <f aca="false">IF(AND(E37&lt;&gt;"",G37&lt;&gt;"",J37&gt;0),IF(I37&gt;=Inputs!$B$6,1,0),0)</f>
        <v>0</v>
      </c>
      <c r="L37" s="5" t="n">
        <v>0</v>
      </c>
      <c r="M37" s="5" t="n">
        <v>163.999</v>
      </c>
      <c r="N37" s="5" t="n">
        <v>0.84</v>
      </c>
      <c r="O37" s="4" t="s">
        <v>64</v>
      </c>
      <c r="P37" s="2" t="n">
        <f aca="false">IF(K37=1,J37/G37^2,0)</f>
        <v>0</v>
      </c>
      <c r="Q37" s="2" t="n">
        <f aca="false">IF(K37=1,((E37-Result!$B$7*D37)/G37)^2,0)</f>
        <v>0</v>
      </c>
    </row>
    <row r="38" customFormat="false" ht="15" hidden="false" customHeight="false" outlineLevel="0" collapsed="false">
      <c r="A38" s="4" t="s">
        <v>61</v>
      </c>
      <c r="B38" s="4" t="s">
        <v>102</v>
      </c>
      <c r="C38" s="4"/>
      <c r="D38" s="5" t="n">
        <v>473.9782</v>
      </c>
      <c r="E38" s="5"/>
      <c r="F38" s="5" t="n">
        <v>0.00506327711721074</v>
      </c>
      <c r="G38" s="5" t="n">
        <v>1.3442</v>
      </c>
      <c r="H38" s="2" t="n">
        <f aca="false">D38*F38</f>
        <v>2.39988297411674</v>
      </c>
      <c r="I38" s="2" t="n">
        <f aca="false">IF(G38="","",D38*1000000/Inputs!$B$4^2*Inputs!$B$5/G38)</f>
        <v>1.79186133900958</v>
      </c>
      <c r="J38" s="2" t="n">
        <f aca="false">IF(C38="A",Inputs!$B$7,IF(C38="B",Inputs!$B$8,IF(C38="C",Inputs!$B$9,0)))</f>
        <v>0</v>
      </c>
      <c r="K38" s="2" t="n">
        <f aca="false">IF(AND(E38&lt;&gt;"",G38&lt;&gt;"",J38&gt;0),IF(I38&gt;=Inputs!$B$6,1,0),0)</f>
        <v>0</v>
      </c>
      <c r="L38" s="5" t="n">
        <v>0</v>
      </c>
      <c r="M38" s="5" t="n">
        <v>473.9782</v>
      </c>
      <c r="N38" s="5" t="n">
        <v>2.42</v>
      </c>
      <c r="O38" s="4" t="s">
        <v>64</v>
      </c>
      <c r="P38" s="2" t="n">
        <f aca="false">IF(K38=1,J38/G38^2,0)</f>
        <v>0</v>
      </c>
      <c r="Q38" s="2" t="n">
        <f aca="false">IF(K38=1,((E38-Result!$B$7*D38)/G38)^2,0)</f>
        <v>0</v>
      </c>
    </row>
    <row r="39" customFormat="false" ht="15" hidden="false" customHeight="false" outlineLevel="0" collapsed="false">
      <c r="A39" s="4" t="s">
        <v>61</v>
      </c>
      <c r="B39" s="4" t="s">
        <v>103</v>
      </c>
      <c r="C39" s="4" t="s">
        <v>63</v>
      </c>
      <c r="D39" s="5" t="n">
        <v>164.7439</v>
      </c>
      <c r="E39" s="5" t="n">
        <v>0.8</v>
      </c>
      <c r="F39" s="5" t="n">
        <v>0.00506331767389047</v>
      </c>
      <c r="G39" s="5" t="n">
        <v>1.3442</v>
      </c>
      <c r="H39" s="2" t="n">
        <f aca="false">D39*F39</f>
        <v>0.834150700535645</v>
      </c>
      <c r="I39" s="2" t="n">
        <f aca="false">IF(G39="","",D39*1000000/Inputs!$B$4^2*Inputs!$B$5/G39)</f>
        <v>0.622809709914212</v>
      </c>
      <c r="J39" s="2" t="n">
        <f aca="false">IF(C39="A",Inputs!$B$7,IF(C39="B",Inputs!$B$8,IF(C39="C",Inputs!$B$9,0)))</f>
        <v>1</v>
      </c>
      <c r="K39" s="2" t="n">
        <f aca="false">IF(AND(E39&lt;&gt;"",G39&lt;&gt;"",J39&gt;0),IF(I39&gt;=Inputs!$B$6,1,0),0)</f>
        <v>0</v>
      </c>
      <c r="L39" s="5" t="n">
        <v>0</v>
      </c>
      <c r="M39" s="5" t="n">
        <v>163.999</v>
      </c>
      <c r="N39" s="5"/>
      <c r="O39" s="4" t="s">
        <v>64</v>
      </c>
      <c r="P39" s="2" t="n">
        <f aca="false">IF(K39=1,J39/G39^2,0)</f>
        <v>0</v>
      </c>
      <c r="Q39" s="2" t="n">
        <f aca="false">IF(K39=1,((E39-Result!$B$7*D39)/G39)^2,0)</f>
        <v>0</v>
      </c>
    </row>
    <row r="40" customFormat="false" ht="15" hidden="false" customHeight="false" outlineLevel="0" collapsed="false">
      <c r="A40" s="4" t="s">
        <v>61</v>
      </c>
      <c r="B40" s="4" t="s">
        <v>104</v>
      </c>
      <c r="C40" s="4" t="s">
        <v>63</v>
      </c>
      <c r="D40" s="5" t="n">
        <v>363.5427</v>
      </c>
      <c r="E40" s="5" t="n">
        <v>1.8</v>
      </c>
      <c r="F40" s="5" t="n">
        <v>0.00506341113138059</v>
      </c>
      <c r="G40" s="5" t="n">
        <v>1.3442</v>
      </c>
      <c r="H40" s="2" t="n">
        <f aca="false">D40*F40</f>
        <v>1.84076615391215</v>
      </c>
      <c r="I40" s="2" t="n">
        <f aca="false">IF(G40="","",D40*1000000/Inputs!$B$4^2*Inputs!$B$5/G40)</f>
        <v>1.37436301755895</v>
      </c>
      <c r="J40" s="2" t="n">
        <f aca="false">IF(C40="A",Inputs!$B$7,IF(C40="B",Inputs!$B$8,IF(C40="C",Inputs!$B$9,0)))</f>
        <v>1</v>
      </c>
      <c r="K40" s="2" t="n">
        <f aca="false">IF(AND(E40&lt;&gt;"",G40&lt;&gt;"",J40&gt;0),IF(I40&gt;=Inputs!$B$6,1,0),0)</f>
        <v>0</v>
      </c>
      <c r="L40" s="5" t="n">
        <v>0</v>
      </c>
      <c r="M40" s="5" t="n">
        <v>361.7423</v>
      </c>
      <c r="N40" s="5"/>
      <c r="O40" s="4" t="s">
        <v>64</v>
      </c>
      <c r="P40" s="2" t="n">
        <f aca="false">IF(K40=1,J40/G40^2,0)</f>
        <v>0</v>
      </c>
      <c r="Q40" s="2" t="n">
        <f aca="false">IF(K40=1,((E40-Result!$B$7*D40)/G40)^2,0)</f>
        <v>0</v>
      </c>
    </row>
    <row r="41" customFormat="false" ht="15" hidden="false" customHeight="false" outlineLevel="0" collapsed="false">
      <c r="A41" s="4" t="s">
        <v>39</v>
      </c>
      <c r="B41" s="4" t="s">
        <v>105</v>
      </c>
      <c r="C41" s="4" t="s">
        <v>63</v>
      </c>
      <c r="D41" s="5" t="n">
        <v>106.3596</v>
      </c>
      <c r="E41" s="5" t="n">
        <v>0.66</v>
      </c>
      <c r="F41" s="5" t="n">
        <v>0.00508392896013914</v>
      </c>
      <c r="G41" s="5" t="n">
        <v>1.802</v>
      </c>
      <c r="H41" s="2" t="n">
        <f aca="false">D41*F41</f>
        <v>0.540724650628815</v>
      </c>
      <c r="I41" s="2" t="n">
        <f aca="false">IF(G41="","",D41*1000000/Inputs!$B$4^2*Inputs!$B$5/G41)</f>
        <v>0.299938235143066</v>
      </c>
      <c r="J41" s="2" t="n">
        <f aca="false">IF(C41="A",Inputs!$B$7,IF(C41="B",Inputs!$B$8,IF(C41="C",Inputs!$B$9,0)))</f>
        <v>1</v>
      </c>
      <c r="K41" s="2" t="n">
        <f aca="false">IF(AND(E41&lt;&gt;"",G41&lt;&gt;"",J41&gt;0),IF(I41&gt;=Inputs!$B$6,1,0),0)</f>
        <v>0</v>
      </c>
      <c r="L41" s="5" t="n">
        <v>0</v>
      </c>
      <c r="M41" s="5" t="n">
        <v>106.3776</v>
      </c>
      <c r="N41" s="5" t="n">
        <v>0.541</v>
      </c>
      <c r="O41" s="4" t="s">
        <v>64</v>
      </c>
      <c r="P41" s="2" t="n">
        <f aca="false">IF(K41=1,J41/G41^2,0)</f>
        <v>0</v>
      </c>
      <c r="Q41" s="2" t="n">
        <f aca="false">IF(K41=1,((E41-Result!$B$7*D41)/G41)^2,0)</f>
        <v>0</v>
      </c>
    </row>
    <row r="42" customFormat="false" ht="15" hidden="false" customHeight="false" outlineLevel="0" collapsed="false">
      <c r="A42" s="4" t="s">
        <v>39</v>
      </c>
      <c r="B42" s="4" t="s">
        <v>106</v>
      </c>
      <c r="C42" s="4" t="s">
        <v>63</v>
      </c>
      <c r="D42" s="5" t="n">
        <v>379.8937</v>
      </c>
      <c r="E42" s="5" t="n">
        <v>2.12</v>
      </c>
      <c r="F42" s="5" t="n">
        <v>0.00508390025209285</v>
      </c>
      <c r="G42" s="5" t="n">
        <v>1.802</v>
      </c>
      <c r="H42" s="2" t="n">
        <f aca="false">D42*F42</f>
        <v>1.93134167719849</v>
      </c>
      <c r="I42" s="2" t="n">
        <f aca="false">IF(G42="","",D42*1000000/Inputs!$B$4^2*Inputs!$B$5/G42)</f>
        <v>1.07131510385494</v>
      </c>
      <c r="J42" s="2" t="n">
        <f aca="false">IF(C42="A",Inputs!$B$7,IF(C42="B",Inputs!$B$8,IF(C42="C",Inputs!$B$9,0)))</f>
        <v>1</v>
      </c>
      <c r="K42" s="2" t="n">
        <f aca="false">IF(AND(E42&lt;&gt;"",G42&lt;&gt;"",J42&gt;0),IF(I42&gt;=Inputs!$B$6,1,0),0)</f>
        <v>0</v>
      </c>
      <c r="L42" s="5" t="n">
        <v>0</v>
      </c>
      <c r="M42" s="5" t="n">
        <v>379.9619</v>
      </c>
      <c r="N42" s="5" t="n">
        <v>1.932</v>
      </c>
      <c r="O42" s="4" t="s">
        <v>64</v>
      </c>
      <c r="P42" s="2" t="n">
        <f aca="false">IF(K42=1,J42/G42^2,0)</f>
        <v>0</v>
      </c>
      <c r="Q42" s="2" t="n">
        <f aca="false">IF(K42=1,((E42-Result!$B$7*D42)/G42)^2,0)</f>
        <v>0</v>
      </c>
    </row>
    <row r="43" customFormat="false" ht="15" hidden="false" customHeight="false" outlineLevel="0" collapsed="false">
      <c r="A43" s="4" t="s">
        <v>39</v>
      </c>
      <c r="B43" s="4" t="s">
        <v>107</v>
      </c>
      <c r="C43" s="4" t="s">
        <v>63</v>
      </c>
      <c r="D43" s="5" t="n">
        <v>116.4928</v>
      </c>
      <c r="E43" s="5" t="n">
        <v>0.93</v>
      </c>
      <c r="F43" s="5" t="n">
        <v>0.00508393167824455</v>
      </c>
      <c r="G43" s="5" t="n">
        <v>1.802</v>
      </c>
      <c r="H43" s="2" t="n">
        <f aca="false">D43*F43</f>
        <v>0.592241436207406</v>
      </c>
      <c r="I43" s="2" t="n">
        <f aca="false">IF(G43="","",D43*1000000/Inputs!$B$4^2*Inputs!$B$5/G43)</f>
        <v>0.328514255778267</v>
      </c>
      <c r="J43" s="2" t="n">
        <f aca="false">IF(C43="A",Inputs!$B$7,IF(C43="B",Inputs!$B$8,IF(C43="C",Inputs!$B$9,0)))</f>
        <v>1</v>
      </c>
      <c r="K43" s="2" t="n">
        <f aca="false">IF(AND(E43&lt;&gt;"",G43&lt;&gt;"",J43&gt;0),IF(I43&gt;=Inputs!$B$6,1,0),0)</f>
        <v>0</v>
      </c>
      <c r="L43" s="5" t="n">
        <v>0</v>
      </c>
      <c r="M43" s="5" t="n">
        <v>116.5127</v>
      </c>
      <c r="N43" s="5" t="n">
        <v>0.592</v>
      </c>
      <c r="O43" s="4" t="s">
        <v>64</v>
      </c>
      <c r="P43" s="2" t="n">
        <f aca="false">IF(K43=1,J43/G43^2,0)</f>
        <v>0</v>
      </c>
      <c r="Q43" s="2" t="n">
        <f aca="false">IF(K43=1,((E43-Result!$B$7*D43)/G43)^2,0)</f>
        <v>0</v>
      </c>
    </row>
    <row r="44" customFormat="false" ht="15" hidden="false" customHeight="false" outlineLevel="0" collapsed="false">
      <c r="A44" s="4" t="s">
        <v>39</v>
      </c>
      <c r="B44" s="4" t="s">
        <v>108</v>
      </c>
      <c r="C44" s="4" t="s">
        <v>63</v>
      </c>
      <c r="D44" s="5" t="n">
        <v>211.7581</v>
      </c>
      <c r="E44" s="5" t="n">
        <v>1.13</v>
      </c>
      <c r="F44" s="5" t="n">
        <v>0.00508390027788856</v>
      </c>
      <c r="G44" s="5" t="n">
        <v>1.802</v>
      </c>
      <c r="H44" s="2" t="n">
        <f aca="false">D44*F44</f>
        <v>1.07655706343515</v>
      </c>
      <c r="I44" s="2" t="n">
        <f aca="false">IF(G44="","",D44*1000000/Inputs!$B$4^2*Inputs!$B$5/G44)</f>
        <v>0.597166130666615</v>
      </c>
      <c r="J44" s="2" t="n">
        <f aca="false">IF(C44="A",Inputs!$B$7,IF(C44="B",Inputs!$B$8,IF(C44="C",Inputs!$B$9,0)))</f>
        <v>1</v>
      </c>
      <c r="K44" s="2" t="n">
        <f aca="false">IF(AND(E44&lt;&gt;"",G44&lt;&gt;"",J44&gt;0),IF(I44&gt;=Inputs!$B$6,1,0),0)</f>
        <v>0</v>
      </c>
      <c r="L44" s="5" t="n">
        <v>0</v>
      </c>
      <c r="M44" s="5" t="n">
        <v>211.7965</v>
      </c>
      <c r="N44" s="5" t="n">
        <v>1.077</v>
      </c>
      <c r="O44" s="4" t="s">
        <v>64</v>
      </c>
      <c r="P44" s="2" t="n">
        <f aca="false">IF(K44=1,J44/G44^2,0)</f>
        <v>0</v>
      </c>
      <c r="Q44" s="2" t="n">
        <f aca="false">IF(K44=1,((E44-Result!$B$7*D44)/G44)^2,0)</f>
        <v>0</v>
      </c>
    </row>
    <row r="45" customFormat="false" ht="15" hidden="false" customHeight="false" outlineLevel="0" collapsed="false">
      <c r="A45" s="4" t="s">
        <v>39</v>
      </c>
      <c r="B45" s="4" t="s">
        <v>109</v>
      </c>
      <c r="C45" s="4" t="s">
        <v>63</v>
      </c>
      <c r="D45" s="5" t="n">
        <v>299.5155</v>
      </c>
      <c r="E45" s="5" t="n">
        <v>0.55</v>
      </c>
      <c r="F45" s="5" t="n">
        <v>0.00508403018488432</v>
      </c>
      <c r="G45" s="5" t="n">
        <v>1.802</v>
      </c>
      <c r="H45" s="2" t="n">
        <f aca="false">D45*F45</f>
        <v>1.52274584284072</v>
      </c>
      <c r="I45" s="2" t="n">
        <f aca="false">IF(G45="","",D45*1000000/Inputs!$B$4^2*Inputs!$B$5/G45)</f>
        <v>0.84464543367964</v>
      </c>
      <c r="J45" s="2" t="n">
        <f aca="false">IF(C45="A",Inputs!$B$7,IF(C45="B",Inputs!$B$8,IF(C45="C",Inputs!$B$9,0)))</f>
        <v>1</v>
      </c>
      <c r="K45" s="2" t="n">
        <f aca="false">IF(AND(E45&lt;&gt;"",G45&lt;&gt;"",J45&gt;0),IF(I45&gt;=Inputs!$B$6,1,0),0)</f>
        <v>0</v>
      </c>
      <c r="L45" s="5" t="n">
        <v>0</v>
      </c>
      <c r="M45" s="5" t="n">
        <v>299.5683</v>
      </c>
      <c r="N45" s="5" t="n">
        <v>1.523</v>
      </c>
      <c r="O45" s="4" t="s">
        <v>64</v>
      </c>
      <c r="P45" s="2" t="n">
        <f aca="false">IF(K45=1,J45/G45^2,0)</f>
        <v>0</v>
      </c>
      <c r="Q45" s="2" t="n">
        <f aca="false">IF(K45=1,((E45-Result!$B$7*D45)/G45)^2,0)</f>
        <v>0</v>
      </c>
    </row>
    <row r="46" customFormat="false" ht="15" hidden="false" customHeight="false" outlineLevel="0" collapsed="false">
      <c r="A46" s="4" t="s">
        <v>39</v>
      </c>
      <c r="B46" s="4" t="s">
        <v>110</v>
      </c>
      <c r="C46" s="4" t="s">
        <v>63</v>
      </c>
      <c r="D46" s="5" t="n">
        <v>401.8524</v>
      </c>
      <c r="E46" s="5" t="n">
        <v>2.01</v>
      </c>
      <c r="F46" s="5" t="n">
        <v>0.00508403287344936</v>
      </c>
      <c r="G46" s="5" t="n">
        <v>1.802</v>
      </c>
      <c r="H46" s="2" t="n">
        <f aca="false">D46*F46</f>
        <v>2.04303081187452</v>
      </c>
      <c r="I46" s="2" t="n">
        <f aca="false">IF(G46="","",D46*1000000/Inputs!$B$4^2*Inputs!$B$5/G46)</f>
        <v>1.13323949736559</v>
      </c>
      <c r="J46" s="2" t="n">
        <f aca="false">IF(C46="A",Inputs!$B$7,IF(C46="B",Inputs!$B$8,IF(C46="C",Inputs!$B$9,0)))</f>
        <v>1</v>
      </c>
      <c r="K46" s="2" t="n">
        <f aca="false">IF(AND(E46&lt;&gt;"",G46&lt;&gt;"",J46&gt;0),IF(I46&gt;=Inputs!$B$6,1,0),0)</f>
        <v>0</v>
      </c>
      <c r="L46" s="5" t="n">
        <v>0</v>
      </c>
      <c r="M46" s="5" t="n">
        <v>401.9238</v>
      </c>
      <c r="N46" s="5" t="n">
        <v>2.043</v>
      </c>
      <c r="O46" s="4" t="s">
        <v>64</v>
      </c>
      <c r="P46" s="2" t="n">
        <f aca="false">IF(K46=1,J46/G46^2,0)</f>
        <v>0</v>
      </c>
      <c r="Q46" s="2" t="n">
        <f aca="false">IF(K46=1,((E46-Result!$B$7*D46)/G46)^2,0)</f>
        <v>0</v>
      </c>
    </row>
    <row r="47" customFormat="false" ht="15" hidden="false" customHeight="false" outlineLevel="0" collapsed="false">
      <c r="A47" s="4" t="s">
        <v>39</v>
      </c>
      <c r="B47" s="4" t="s">
        <v>111</v>
      </c>
      <c r="C47" s="4" t="s">
        <v>63</v>
      </c>
      <c r="D47" s="5" t="n">
        <v>719.9736</v>
      </c>
      <c r="E47" s="5" t="n">
        <v>4.27</v>
      </c>
      <c r="F47" s="5" t="n">
        <v>0.00508396513395238</v>
      </c>
      <c r="G47" s="5" t="n">
        <v>1.802</v>
      </c>
      <c r="H47" s="2" t="n">
        <f aca="false">D47*F47</f>
        <v>3.66032067976618</v>
      </c>
      <c r="I47" s="2" t="n">
        <f aca="false">IF(G47="","",D47*1000000/Inputs!$B$4^2*Inputs!$B$5/G47)</f>
        <v>2.03035373331227</v>
      </c>
      <c r="J47" s="2" t="n">
        <f aca="false">IF(C47="A",Inputs!$B$7,IF(C47="B",Inputs!$B$8,IF(C47="C",Inputs!$B$9,0)))</f>
        <v>1</v>
      </c>
      <c r="K47" s="2" t="n">
        <f aca="false">IF(AND(E47&lt;&gt;"",G47&lt;&gt;"",J47&gt;0),IF(I47&gt;=Inputs!$B$6,1,0),0)</f>
        <v>1</v>
      </c>
      <c r="L47" s="5" t="n">
        <v>0</v>
      </c>
      <c r="M47" s="5" t="n">
        <v>720.1037</v>
      </c>
      <c r="N47" s="5" t="n">
        <v>3.661</v>
      </c>
      <c r="O47" s="4" t="s">
        <v>64</v>
      </c>
      <c r="P47" s="2" t="n">
        <f aca="false">IF(K47=1,J47/G47^2,0)</f>
        <v>0.307957245679668</v>
      </c>
      <c r="Q47" s="2" t="n">
        <f aca="false">IF(K47=1,((E47-Result!$B$7*D47)/G47)^2,0)</f>
        <v>0.122809595660633</v>
      </c>
    </row>
    <row r="48" customFormat="false" ht="15" hidden="false" customHeight="false" outlineLevel="0" collapsed="false">
      <c r="A48" s="4" t="s">
        <v>39</v>
      </c>
      <c r="B48" s="4" t="s">
        <v>112</v>
      </c>
      <c r="C48" s="4" t="s">
        <v>63</v>
      </c>
      <c r="D48" s="5" t="n">
        <v>768.315</v>
      </c>
      <c r="E48" s="5" t="n">
        <v>0.83</v>
      </c>
      <c r="F48" s="5" t="n">
        <v>0.00508420246391347</v>
      </c>
      <c r="G48" s="5" t="n">
        <v>1.802</v>
      </c>
      <c r="H48" s="2" t="n">
        <f aca="false">D48*F48</f>
        <v>3.90626901606168</v>
      </c>
      <c r="I48" s="2" t="n">
        <f aca="false">IF(G48="","",D48*1000000/Inputs!$B$4^2*Inputs!$B$5/G48)</f>
        <v>2.16667837349844</v>
      </c>
      <c r="J48" s="2" t="n">
        <f aca="false">IF(C48="A",Inputs!$B$7,IF(C48="B",Inputs!$B$8,IF(C48="C",Inputs!$B$9,0)))</f>
        <v>1</v>
      </c>
      <c r="K48" s="2" t="n">
        <f aca="false">IF(AND(E48&lt;&gt;"",G48&lt;&gt;"",J48&gt;0),IF(I48&gt;=Inputs!$B$6,1,0),0)</f>
        <v>1</v>
      </c>
      <c r="L48" s="5" t="n">
        <v>0</v>
      </c>
      <c r="M48" s="5" t="n">
        <v>768.4592</v>
      </c>
      <c r="N48" s="5" t="n">
        <v>3.907</v>
      </c>
      <c r="O48" s="4" t="s">
        <v>64</v>
      </c>
      <c r="P48" s="2" t="n">
        <f aca="false">IF(K48=1,J48/G48^2,0)</f>
        <v>0.307957245679668</v>
      </c>
      <c r="Q48" s="2" t="n">
        <f aca="false">IF(K48=1,((E48-Result!$B$7*D48)/G48)^2,0)</f>
        <v>2.87004330966735</v>
      </c>
    </row>
    <row r="49" customFormat="false" ht="15" hidden="false" customHeight="false" outlineLevel="0" collapsed="false">
      <c r="A49" s="4" t="s">
        <v>39</v>
      </c>
      <c r="B49" s="4" t="s">
        <v>113</v>
      </c>
      <c r="C49" s="4" t="s">
        <v>63</v>
      </c>
      <c r="D49" s="5" t="n">
        <v>1576.1927</v>
      </c>
      <c r="E49" s="5" t="n">
        <v>8.97</v>
      </c>
      <c r="F49" s="5" t="n">
        <v>0.0050840956117658</v>
      </c>
      <c r="G49" s="5" t="n">
        <v>1.802</v>
      </c>
      <c r="H49" s="2" t="n">
        <f aca="false">D49*F49</f>
        <v>8.0135143893673</v>
      </c>
      <c r="I49" s="2" t="n">
        <f aca="false">IF(G49="","",D49*1000000/Inputs!$B$4^2*Inputs!$B$5/G49)</f>
        <v>4.44492510956589</v>
      </c>
      <c r="J49" s="2" t="n">
        <f aca="false">IF(C49="A",Inputs!$B$7,IF(C49="B",Inputs!$B$8,IF(C49="C",Inputs!$B$9,0)))</f>
        <v>1</v>
      </c>
      <c r="K49" s="2" t="n">
        <f aca="false">IF(AND(E49&lt;&gt;"",G49&lt;&gt;"",J49&gt;0),IF(I49&gt;=Inputs!$B$6,1,0),0)</f>
        <v>1</v>
      </c>
      <c r="L49" s="5" t="n">
        <v>0</v>
      </c>
      <c r="M49" s="5" t="n">
        <v>1576.4926</v>
      </c>
      <c r="N49" s="5" t="n">
        <v>8.014</v>
      </c>
      <c r="O49" s="4" t="s">
        <v>64</v>
      </c>
      <c r="P49" s="2" t="n">
        <f aca="false">IF(K49=1,J49/G49^2,0)</f>
        <v>0.307957245679668</v>
      </c>
      <c r="Q49" s="2" t="n">
        <f aca="false">IF(K49=1,((E49-Result!$B$7*D49)/G49)^2,0)</f>
        <v>0.310706766959539</v>
      </c>
    </row>
    <row r="50" customFormat="false" ht="15" hidden="false" customHeight="false" outlineLevel="0" collapsed="false">
      <c r="A50" s="4" t="s">
        <v>39</v>
      </c>
      <c r="B50" s="4" t="s">
        <v>114</v>
      </c>
      <c r="C50" s="4" t="s">
        <v>63</v>
      </c>
      <c r="D50" s="5" t="n">
        <v>1503.2427</v>
      </c>
      <c r="E50" s="5" t="n">
        <v>6.25</v>
      </c>
      <c r="F50" s="5" t="n">
        <v>0.00508414982430945</v>
      </c>
      <c r="G50" s="5" t="n">
        <v>1.802</v>
      </c>
      <c r="H50" s="2" t="n">
        <f aca="false">D50*F50</f>
        <v>7.64271110909946</v>
      </c>
      <c r="I50" s="2" t="n">
        <f aca="false">IF(G50="","",D50*1000000/Inputs!$B$4^2*Inputs!$B$5/G50)</f>
        <v>4.23920325414629</v>
      </c>
      <c r="J50" s="2" t="n">
        <f aca="false">IF(C50="A",Inputs!$B$7,IF(C50="B",Inputs!$B$8,IF(C50="C",Inputs!$B$9,0)))</f>
        <v>1</v>
      </c>
      <c r="K50" s="2" t="n">
        <f aca="false">IF(AND(E50&lt;&gt;"",G50&lt;&gt;"",J50&gt;0),IF(I50&gt;=Inputs!$B$6,1,0),0)</f>
        <v>1</v>
      </c>
      <c r="L50" s="5" t="n">
        <v>0</v>
      </c>
      <c r="M50" s="5" t="n">
        <v>1503.5214</v>
      </c>
      <c r="N50" s="5" t="n">
        <v>7.644</v>
      </c>
      <c r="O50" s="4" t="s">
        <v>64</v>
      </c>
      <c r="P50" s="2" t="n">
        <f aca="false">IF(K50=1,J50/G50^2,0)</f>
        <v>0.307957245679668</v>
      </c>
      <c r="Q50" s="2" t="n">
        <f aca="false">IF(K50=1,((E50-Result!$B$7*D50)/G50)^2,0)</f>
        <v>0.558661774688676</v>
      </c>
    </row>
    <row r="51" customFormat="false" ht="15" hidden="false" customHeight="false" outlineLevel="0" collapsed="false">
      <c r="A51" s="4" t="s">
        <v>39</v>
      </c>
      <c r="B51" s="4" t="s">
        <v>115</v>
      </c>
      <c r="C51" s="4" t="s">
        <v>63</v>
      </c>
      <c r="D51" s="5" t="n">
        <v>1031.6641</v>
      </c>
      <c r="E51" s="5" t="n">
        <v>3.95</v>
      </c>
      <c r="F51" s="5" t="n">
        <v>0.00508441188256184</v>
      </c>
      <c r="G51" s="5" t="n">
        <v>1.802</v>
      </c>
      <c r="H51" s="2" t="n">
        <f aca="false">D51*F51</f>
        <v>5.24540520885247</v>
      </c>
      <c r="I51" s="2" t="n">
        <f aca="false">IF(G51="","",D51*1000000/Inputs!$B$4^2*Inputs!$B$5/G51)</f>
        <v>2.90933314354755</v>
      </c>
      <c r="J51" s="2" t="n">
        <f aca="false">IF(C51="A",Inputs!$B$7,IF(C51="B",Inputs!$B$8,IF(C51="C",Inputs!$B$9,0)))</f>
        <v>1</v>
      </c>
      <c r="K51" s="2" t="n">
        <f aca="false">IF(AND(E51&lt;&gt;"",G51&lt;&gt;"",J51&gt;0),IF(I51&gt;=Inputs!$B$6,1,0),0)</f>
        <v>1</v>
      </c>
      <c r="L51" s="5" t="n">
        <v>0</v>
      </c>
      <c r="M51" s="5" t="n">
        <v>1031.8504</v>
      </c>
      <c r="N51" s="5" t="n">
        <v>5.246</v>
      </c>
      <c r="O51" s="4" t="s">
        <v>64</v>
      </c>
      <c r="P51" s="2" t="n">
        <f aca="false">IF(K51=1,J51/G51^2,0)</f>
        <v>0.307957245679668</v>
      </c>
      <c r="Q51" s="2" t="n">
        <f aca="false">IF(K51=1,((E51-Result!$B$7*D51)/G51)^2,0)</f>
        <v>0.491774582778357</v>
      </c>
    </row>
    <row r="52" customFormat="false" ht="15" hidden="false" customHeight="false" outlineLevel="0" collapsed="false">
      <c r="A52" s="4" t="s">
        <v>39</v>
      </c>
      <c r="B52" s="4" t="s">
        <v>116</v>
      </c>
      <c r="C52" s="4" t="s">
        <v>63</v>
      </c>
      <c r="D52" s="5" t="n">
        <v>1766.5832</v>
      </c>
      <c r="E52" s="5" t="n">
        <v>9.37</v>
      </c>
      <c r="F52" s="5" t="n">
        <v>0.00508427996569576</v>
      </c>
      <c r="G52" s="5" t="n">
        <v>1.802</v>
      </c>
      <c r="H52" s="2" t="n">
        <f aca="false">D52*F52</f>
        <v>8.9818035714947</v>
      </c>
      <c r="I52" s="2" t="n">
        <f aca="false">IF(G52="","",D52*1000000/Inputs!$B$4^2*Inputs!$B$5/G52)</f>
        <v>4.98183377185877</v>
      </c>
      <c r="J52" s="2" t="n">
        <f aca="false">IF(C52="A",Inputs!$B$7,IF(C52="B",Inputs!$B$8,IF(C52="C",Inputs!$B$9,0)))</f>
        <v>1</v>
      </c>
      <c r="K52" s="2" t="n">
        <f aca="false">IF(AND(E52&lt;&gt;"",G52&lt;&gt;"",J52&gt;0),IF(I52&gt;=Inputs!$B$6,1,0),0)</f>
        <v>1</v>
      </c>
      <c r="L52" s="5" t="n">
        <v>0</v>
      </c>
      <c r="M52" s="5" t="n">
        <v>1766.9125</v>
      </c>
      <c r="N52" s="5" t="n">
        <v>8.983</v>
      </c>
      <c r="O52" s="4" t="s">
        <v>64</v>
      </c>
      <c r="P52" s="2" t="n">
        <f aca="false">IF(K52=1,J52/G52^2,0)</f>
        <v>0.307957245679668</v>
      </c>
      <c r="Q52" s="2" t="n">
        <f aca="false">IF(K52=1,((E52-Result!$B$7*D52)/G52)^2,0)</f>
        <v>0.0602413427925548</v>
      </c>
    </row>
    <row r="53" customFormat="false" ht="15" hidden="false" customHeight="false" outlineLevel="0" collapsed="false">
      <c r="A53" s="4" t="s">
        <v>39</v>
      </c>
      <c r="B53" s="4" t="s">
        <v>117</v>
      </c>
      <c r="C53" s="4" t="s">
        <v>63</v>
      </c>
      <c r="D53" s="5" t="n">
        <v>1105.2018</v>
      </c>
      <c r="E53" s="5" t="n">
        <v>6.58</v>
      </c>
      <c r="F53" s="5" t="n">
        <v>0.00508467363456519</v>
      </c>
      <c r="G53" s="5" t="n">
        <v>1.802</v>
      </c>
      <c r="H53" s="2" t="n">
        <f aca="false">D53*F53</f>
        <v>5.61959045333399</v>
      </c>
      <c r="I53" s="2" t="n">
        <f aca="false">IF(G53="","",D53*1000000/Inputs!$B$4^2*Inputs!$B$5/G53)</f>
        <v>3.11671233597099</v>
      </c>
      <c r="J53" s="2" t="n">
        <f aca="false">IF(C53="A",Inputs!$B$7,IF(C53="B",Inputs!$B$8,IF(C53="C",Inputs!$B$9,0)))</f>
        <v>1</v>
      </c>
      <c r="K53" s="2" t="n">
        <f aca="false">IF(AND(E53&lt;&gt;"",G53&lt;&gt;"",J53&gt;0),IF(I53&gt;=Inputs!$B$6,1,0),0)</f>
        <v>1</v>
      </c>
      <c r="L53" s="5" t="n">
        <v>1</v>
      </c>
      <c r="M53" s="5" t="n">
        <v>1105.4011</v>
      </c>
      <c r="N53" s="5" t="n">
        <v>5.621</v>
      </c>
      <c r="O53" s="4" t="s">
        <v>64</v>
      </c>
      <c r="P53" s="2" t="n">
        <f aca="false">IF(K53=1,J53/G53^2,0)</f>
        <v>0.307957245679668</v>
      </c>
      <c r="Q53" s="2" t="n">
        <f aca="false">IF(K53=1,((E53-Result!$B$7*D53)/G53)^2,0)</f>
        <v>0.304691264863893</v>
      </c>
    </row>
    <row r="54" customFormat="false" ht="15" hidden="false" customHeight="false" outlineLevel="0" collapsed="false">
      <c r="A54" s="4" t="s">
        <v>39</v>
      </c>
      <c r="B54" s="4" t="s">
        <v>118</v>
      </c>
      <c r="C54" s="4" t="s">
        <v>63</v>
      </c>
      <c r="D54" s="5" t="n">
        <v>850.8727</v>
      </c>
      <c r="E54" s="5" t="n">
        <v>0.05</v>
      </c>
      <c r="F54" s="5" t="n">
        <v>0.00508486426507331</v>
      </c>
      <c r="G54" s="5" t="n">
        <v>1.802</v>
      </c>
      <c r="H54" s="2" t="n">
        <f aca="false">D54*F54</f>
        <v>4.32657218635644</v>
      </c>
      <c r="I54" s="2" t="n">
        <f aca="false">IF(G54="","",D54*1000000/Inputs!$B$4^2*Inputs!$B$5/G54)</f>
        <v>2.39949431898405</v>
      </c>
      <c r="J54" s="2" t="n">
        <f aca="false">IF(C54="A",Inputs!$B$7,IF(C54="B",Inputs!$B$8,IF(C54="C",Inputs!$B$9,0)))</f>
        <v>1</v>
      </c>
      <c r="K54" s="2" t="n">
        <f aca="false">IF(AND(E54&lt;&gt;"",G54&lt;&gt;"",J54&gt;0),IF(I54&gt;=Inputs!$B$6,1,0),0)</f>
        <v>1</v>
      </c>
      <c r="L54" s="5" t="n">
        <v>0</v>
      </c>
      <c r="M54" s="5" t="n">
        <v>851.0238</v>
      </c>
      <c r="N54" s="5" t="n">
        <v>4.327</v>
      </c>
      <c r="O54" s="4" t="s">
        <v>64</v>
      </c>
      <c r="P54" s="2" t="n">
        <f aca="false">IF(K54=1,J54/G54^2,0)</f>
        <v>0.307957245679668</v>
      </c>
      <c r="Q54" s="2" t="n">
        <f aca="false">IF(K54=1,((E54-Result!$B$7*D54)/G54)^2,0)</f>
        <v>5.56253893964522</v>
      </c>
    </row>
    <row r="55" customFormat="false" ht="15" hidden="false" customHeight="false" outlineLevel="0" collapsed="false">
      <c r="A55" s="4" t="s">
        <v>39</v>
      </c>
      <c r="B55" s="4" t="s">
        <v>119</v>
      </c>
      <c r="C55" s="4" t="s">
        <v>63</v>
      </c>
      <c r="D55" s="5" t="n">
        <v>795.0645</v>
      </c>
      <c r="E55" s="5" t="n">
        <v>3.22</v>
      </c>
      <c r="F55" s="5" t="n">
        <v>0.00508512457756623</v>
      </c>
      <c r="G55" s="5" t="n">
        <v>1.802</v>
      </c>
      <c r="H55" s="2" t="n">
        <f aca="false">D55*F55</f>
        <v>4.0430020297004</v>
      </c>
      <c r="I55" s="2" t="n">
        <f aca="false">IF(G55="","",D55*1000000/Inputs!$B$4^2*Inputs!$B$5/G55)</f>
        <v>2.2421130105313</v>
      </c>
      <c r="J55" s="2" t="n">
        <f aca="false">IF(C55="A",Inputs!$B$7,IF(C55="B",Inputs!$B$8,IF(C55="C",Inputs!$B$9,0)))</f>
        <v>1</v>
      </c>
      <c r="K55" s="2" t="n">
        <f aca="false">IF(AND(E55&lt;&gt;"",G55&lt;&gt;"",J55&gt;0),IF(I55&gt;=Inputs!$B$6,1,0),0)</f>
        <v>1</v>
      </c>
      <c r="L55" s="5" t="n">
        <v>0</v>
      </c>
      <c r="M55" s="5" t="n">
        <v>795.2112</v>
      </c>
      <c r="N55" s="5" t="n">
        <v>4.044</v>
      </c>
      <c r="O55" s="4" t="s">
        <v>64</v>
      </c>
      <c r="P55" s="2" t="n">
        <f aca="false">IF(K55=1,J55/G55^2,0)</f>
        <v>0.307957245679668</v>
      </c>
      <c r="Q55" s="2" t="n">
        <f aca="false">IF(K55=1,((E55-Result!$B$7*D55)/G55)^2,0)</f>
        <v>0.196102298332449</v>
      </c>
    </row>
    <row r="56" customFormat="false" ht="15" hidden="false" customHeight="false" outlineLevel="0" collapsed="false">
      <c r="A56" s="4" t="s">
        <v>39</v>
      </c>
      <c r="B56" s="4" t="s">
        <v>120</v>
      </c>
      <c r="C56" s="4" t="s">
        <v>63</v>
      </c>
      <c r="D56" s="5" t="n">
        <v>818.0501</v>
      </c>
      <c r="E56" s="5" t="n">
        <v>0.2</v>
      </c>
      <c r="F56" s="5" t="n">
        <v>0.00508498673594887</v>
      </c>
      <c r="G56" s="5" t="n">
        <v>1.802</v>
      </c>
      <c r="H56" s="2" t="n">
        <f aca="false">D56*F56</f>
        <v>4.15977390784165</v>
      </c>
      <c r="I56" s="2" t="n">
        <f aca="false">IF(G56="","",D56*1000000/Inputs!$B$4^2*Inputs!$B$5/G56)</f>
        <v>2.30693330223702</v>
      </c>
      <c r="J56" s="2" t="n">
        <f aca="false">IF(C56="A",Inputs!$B$7,IF(C56="B",Inputs!$B$8,IF(C56="C",Inputs!$B$9,0)))</f>
        <v>1</v>
      </c>
      <c r="K56" s="2" t="n">
        <f aca="false">IF(AND(E56&lt;&gt;"",G56&lt;&gt;"",J56&gt;0),IF(I56&gt;=Inputs!$B$6,1,0),0)</f>
        <v>1</v>
      </c>
      <c r="L56" s="5" t="n">
        <v>1</v>
      </c>
      <c r="M56" s="5" t="n">
        <v>818.1998</v>
      </c>
      <c r="N56" s="5" t="n">
        <v>4.16</v>
      </c>
      <c r="O56" s="4" t="s">
        <v>64</v>
      </c>
      <c r="P56" s="2" t="n">
        <f aca="false">IF(K56=1,J56/G56^2,0)</f>
        <v>0.307957245679668</v>
      </c>
      <c r="Q56" s="2" t="n">
        <f aca="false">IF(K56=1,((E56-Result!$B$7*D56)/G56)^2,0)</f>
        <v>4.76641708947303</v>
      </c>
    </row>
    <row r="57" customFormat="false" ht="15" hidden="false" customHeight="false" outlineLevel="0" collapsed="false">
      <c r="A57" s="4" t="s">
        <v>39</v>
      </c>
      <c r="B57" s="4" t="s">
        <v>121</v>
      </c>
      <c r="C57" s="4" t="s">
        <v>63</v>
      </c>
      <c r="D57" s="5" t="n">
        <v>827.8793</v>
      </c>
      <c r="E57" s="5" t="n">
        <v>3.07</v>
      </c>
      <c r="F57" s="5" t="n">
        <v>0.00508499337346845</v>
      </c>
      <c r="G57" s="5" t="n">
        <v>1.802</v>
      </c>
      <c r="H57" s="2" t="n">
        <f aca="false">D57*F57</f>
        <v>4.20976075453169</v>
      </c>
      <c r="I57" s="2" t="n">
        <f aca="false">IF(G57="","",D57*1000000/Inputs!$B$4^2*Inputs!$B$5/G57)</f>
        <v>2.33465203097301</v>
      </c>
      <c r="J57" s="2" t="n">
        <f aca="false">IF(C57="A",Inputs!$B$7,IF(C57="B",Inputs!$B$8,IF(C57="C",Inputs!$B$9,0)))</f>
        <v>1</v>
      </c>
      <c r="K57" s="2" t="n">
        <f aca="false">IF(AND(E57&lt;&gt;"",G57&lt;&gt;"",J57&gt;0),IF(I57&gt;=Inputs!$B$6,1,0),0)</f>
        <v>1</v>
      </c>
      <c r="L57" s="5" t="n">
        <v>0</v>
      </c>
      <c r="M57" s="5" t="n">
        <v>828.0352</v>
      </c>
      <c r="N57" s="5" t="n">
        <v>4.21</v>
      </c>
      <c r="O57" s="4" t="s">
        <v>64</v>
      </c>
      <c r="P57" s="2" t="n">
        <f aca="false">IF(K57=1,J57/G57^2,0)</f>
        <v>0.307957245679668</v>
      </c>
      <c r="Q57" s="2" t="n">
        <f aca="false">IF(K57=1,((E57-Result!$B$7*D57)/G57)^2,0)</f>
        <v>0.382051928247619</v>
      </c>
    </row>
    <row r="58" customFormat="false" ht="15" hidden="false" customHeight="false" outlineLevel="0" collapsed="false">
      <c r="A58" s="4" t="s">
        <v>39</v>
      </c>
      <c r="B58" s="4" t="s">
        <v>122</v>
      </c>
      <c r="C58" s="4" t="s">
        <v>63</v>
      </c>
      <c r="D58" s="5" t="n">
        <v>1529.8501</v>
      </c>
      <c r="E58" s="5" t="n">
        <v>4.18</v>
      </c>
      <c r="F58" s="5" t="n">
        <v>0.00508484864545384</v>
      </c>
      <c r="G58" s="5" t="n">
        <v>1.802</v>
      </c>
      <c r="H58" s="2" t="n">
        <f aca="false">D58*F58</f>
        <v>7.77905620873243</v>
      </c>
      <c r="I58" s="2" t="n">
        <f aca="false">IF(G58="","",D58*1000000/Inputs!$B$4^2*Inputs!$B$5/G58)</f>
        <v>4.31423716361705</v>
      </c>
      <c r="J58" s="2" t="n">
        <f aca="false">IF(C58="A",Inputs!$B$7,IF(C58="B",Inputs!$B$8,IF(C58="C",Inputs!$B$9,0)))</f>
        <v>1</v>
      </c>
      <c r="K58" s="2" t="n">
        <f aca="false">IF(AND(E58&lt;&gt;"",G58&lt;&gt;"",J58&gt;0),IF(I58&gt;=Inputs!$B$6,1,0),0)</f>
        <v>1</v>
      </c>
      <c r="L58" s="5" t="n">
        <v>0</v>
      </c>
      <c r="M58" s="5" t="n">
        <v>1530.1354</v>
      </c>
      <c r="N58" s="5" t="n">
        <v>7.78</v>
      </c>
      <c r="O58" s="4" t="s">
        <v>64</v>
      </c>
      <c r="P58" s="2" t="n">
        <f aca="false">IF(K58=1,J58/G58^2,0)</f>
        <v>0.307957245679668</v>
      </c>
      <c r="Q58" s="2" t="n">
        <f aca="false">IF(K58=1,((E58-Result!$B$7*D58)/G58)^2,0)</f>
        <v>3.88397463159053</v>
      </c>
    </row>
    <row r="59" customFormat="false" ht="15" hidden="false" customHeight="false" outlineLevel="0" collapsed="false">
      <c r="A59" s="4" t="s">
        <v>39</v>
      </c>
      <c r="B59" s="4" t="s">
        <v>123</v>
      </c>
      <c r="C59" s="4" t="s">
        <v>63</v>
      </c>
      <c r="D59" s="5" t="n">
        <v>2274.1927</v>
      </c>
      <c r="E59" s="5" t="n">
        <v>10.68</v>
      </c>
      <c r="F59" s="5" t="n">
        <v>0.00508497778440039</v>
      </c>
      <c r="G59" s="5" t="n">
        <v>1.802</v>
      </c>
      <c r="H59" s="2" t="n">
        <f aca="false">D59*F59</f>
        <v>11.5642193569455</v>
      </c>
      <c r="I59" s="2" t="n">
        <f aca="false">IF(G59="","",D59*1000000/Inputs!$B$4^2*Inputs!$B$5/G59)</f>
        <v>6.41331243078429</v>
      </c>
      <c r="J59" s="2" t="n">
        <f aca="false">IF(C59="A",Inputs!$B$7,IF(C59="B",Inputs!$B$8,IF(C59="C",Inputs!$B$9,0)))</f>
        <v>1</v>
      </c>
      <c r="K59" s="2" t="n">
        <f aca="false">IF(AND(E59&lt;&gt;"",G59&lt;&gt;"",J59&gt;0),IF(I59&gt;=Inputs!$B$6,1,0),0)</f>
        <v>1</v>
      </c>
      <c r="L59" s="5" t="n">
        <v>0</v>
      </c>
      <c r="M59" s="5" t="n">
        <v>2274.6319</v>
      </c>
      <c r="N59" s="5" t="n">
        <v>11.566</v>
      </c>
      <c r="O59" s="4" t="s">
        <v>64</v>
      </c>
      <c r="P59" s="2" t="n">
        <f aca="false">IF(K59=1,J59/G59^2,0)</f>
        <v>0.307957245679668</v>
      </c>
      <c r="Q59" s="2" t="n">
        <f aca="false">IF(K59=1,((E59-Result!$B$7*D59)/G59)^2,0)</f>
        <v>0.203551269680106</v>
      </c>
    </row>
    <row r="60" customFormat="false" ht="15" hidden="false" customHeight="false" outlineLevel="0" collapsed="false">
      <c r="A60" s="4" t="s">
        <v>39</v>
      </c>
      <c r="B60" s="4" t="s">
        <v>124</v>
      </c>
      <c r="C60" s="4" t="s">
        <v>63</v>
      </c>
      <c r="D60" s="5" t="n">
        <v>1562.3995</v>
      </c>
      <c r="E60" s="5" t="n">
        <v>6.7</v>
      </c>
      <c r="F60" s="5" t="n">
        <v>0.005085109019889</v>
      </c>
      <c r="G60" s="5" t="n">
        <v>1.802</v>
      </c>
      <c r="H60" s="2" t="n">
        <f aca="false">D60*F60</f>
        <v>7.94497179012006</v>
      </c>
      <c r="I60" s="2" t="n">
        <f aca="false">IF(G60="","",D60*1000000/Inputs!$B$4^2*Inputs!$B$5/G60)</f>
        <v>4.40602774567044</v>
      </c>
      <c r="J60" s="2" t="n">
        <f aca="false">IF(C60="A",Inputs!$B$7,IF(C60="B",Inputs!$B$8,IF(C60="C",Inputs!$B$9,0)))</f>
        <v>1</v>
      </c>
      <c r="K60" s="2" t="n">
        <f aca="false">IF(AND(E60&lt;&gt;"",G60&lt;&gt;"",J60&gt;0),IF(I60&gt;=Inputs!$B$6,1,0),0)</f>
        <v>1</v>
      </c>
      <c r="L60" s="5" t="n">
        <v>0</v>
      </c>
      <c r="M60" s="5" t="n">
        <v>1562.6963</v>
      </c>
      <c r="N60" s="5" t="n">
        <v>7.946</v>
      </c>
      <c r="O60" s="4" t="s">
        <v>64</v>
      </c>
      <c r="P60" s="2" t="n">
        <f aca="false">IF(K60=1,J60/G60^2,0)</f>
        <v>0.307957245679668</v>
      </c>
      <c r="Q60" s="2" t="n">
        <f aca="false">IF(K60=1,((E60-Result!$B$7*D60)/G60)^2,0)</f>
        <v>0.440388834785052</v>
      </c>
    </row>
    <row r="61" customFormat="false" ht="15" hidden="false" customHeight="false" outlineLevel="0" collapsed="false">
      <c r="A61" s="4" t="s">
        <v>39</v>
      </c>
      <c r="B61" s="4" t="s">
        <v>125</v>
      </c>
      <c r="C61" s="4" t="s">
        <v>63</v>
      </c>
      <c r="D61" s="5" t="n">
        <v>1801.3316</v>
      </c>
      <c r="E61" s="5" t="n">
        <v>11.08</v>
      </c>
      <c r="F61" s="5" t="n">
        <v>0.00508427276128436</v>
      </c>
      <c r="G61" s="5" t="n">
        <v>1.802</v>
      </c>
      <c r="H61" s="2" t="n">
        <f aca="false">D61*F61</f>
        <v>9.15846118792078</v>
      </c>
      <c r="I61" s="2" t="n">
        <f aca="false">IF(G61="","",D61*1000000/Inputs!$B$4^2*Inputs!$B$5/G61)</f>
        <v>5.07982561998575</v>
      </c>
      <c r="J61" s="2" t="n">
        <f aca="false">IF(C61="A",Inputs!$B$7,IF(C61="B",Inputs!$B$8,IF(C61="C",Inputs!$B$9,0)))</f>
        <v>1</v>
      </c>
      <c r="K61" s="2" t="n">
        <f aca="false">IF(AND(E61&lt;&gt;"",G61&lt;&gt;"",J61&gt;0),IF(I61&gt;=Inputs!$B$6,1,0),0)</f>
        <v>1</v>
      </c>
      <c r="L61" s="5" t="n">
        <v>1</v>
      </c>
      <c r="M61" s="5" t="n">
        <v>1801.667</v>
      </c>
      <c r="N61" s="5" t="n">
        <v>9.16</v>
      </c>
      <c r="O61" s="4" t="s">
        <v>64</v>
      </c>
      <c r="P61" s="2" t="n">
        <f aca="false">IF(K61=1,J61/G61^2,0)</f>
        <v>0.307957245679668</v>
      </c>
      <c r="Q61" s="2" t="n">
        <f aca="false">IF(K61=1,((E61-Result!$B$7*D61)/G61)^2,0)</f>
        <v>1.20326802967989</v>
      </c>
    </row>
    <row r="62" customFormat="false" ht="15" hidden="false" customHeight="false" outlineLevel="0" collapsed="false">
      <c r="A62" s="4" t="s">
        <v>39</v>
      </c>
      <c r="B62" s="4" t="s">
        <v>126</v>
      </c>
      <c r="C62" s="4" t="s">
        <v>63</v>
      </c>
      <c r="D62" s="5" t="n">
        <v>2443.9305</v>
      </c>
      <c r="E62" s="5" t="n">
        <v>11.15</v>
      </c>
      <c r="F62" s="5" t="n">
        <v>0.00508417642931131</v>
      </c>
      <c r="G62" s="5" t="n">
        <v>1.802</v>
      </c>
      <c r="H62" s="2" t="n">
        <f aca="false">D62*F62</f>
        <v>12.425373842975</v>
      </c>
      <c r="I62" s="2" t="n">
        <f aca="false">IF(G62="","",D62*1000000/Inputs!$B$4^2*Inputs!$B$5/G62)</f>
        <v>6.89197967068616</v>
      </c>
      <c r="J62" s="2" t="n">
        <f aca="false">IF(C62="A",Inputs!$B$7,IF(C62="B",Inputs!$B$8,IF(C62="C",Inputs!$B$9,0)))</f>
        <v>1</v>
      </c>
      <c r="K62" s="2" t="n">
        <f aca="false">IF(AND(E62&lt;&gt;"",G62&lt;&gt;"",J62&gt;0),IF(I62&gt;=Inputs!$B$6,1,0),0)</f>
        <v>1</v>
      </c>
      <c r="L62" s="5" t="n">
        <v>1</v>
      </c>
      <c r="M62" s="5" t="n">
        <v>2444.4031</v>
      </c>
      <c r="N62" s="5" t="n">
        <v>12.427</v>
      </c>
      <c r="O62" s="4" t="s">
        <v>64</v>
      </c>
      <c r="P62" s="2" t="n">
        <f aca="false">IF(K62=1,J62/G62^2,0)</f>
        <v>0.307957245679668</v>
      </c>
      <c r="Q62" s="2" t="n">
        <f aca="false">IF(K62=1,((E62-Result!$B$7*D62)/G62)^2,0)</f>
        <v>0.444049679055676</v>
      </c>
    </row>
    <row r="63" customFormat="false" ht="15" hidden="false" customHeight="false" outlineLevel="0" collapsed="false">
      <c r="A63" s="4" t="s">
        <v>39</v>
      </c>
      <c r="B63" s="4" t="s">
        <v>127</v>
      </c>
      <c r="C63" s="4" t="s">
        <v>63</v>
      </c>
      <c r="D63" s="5" t="n">
        <v>2277.036</v>
      </c>
      <c r="E63" s="5" t="n">
        <v>15.88</v>
      </c>
      <c r="F63" s="5" t="n">
        <v>0.00508456167761873</v>
      </c>
      <c r="G63" s="5" t="n">
        <v>1.802</v>
      </c>
      <c r="H63" s="2" t="n">
        <f aca="false">D63*F63</f>
        <v>11.5777299841582</v>
      </c>
      <c r="I63" s="2" t="n">
        <f aca="false">IF(G63="","",D63*1000000/Inputs!$B$4^2*Inputs!$B$5/G63)</f>
        <v>6.42133064807716</v>
      </c>
      <c r="J63" s="2" t="n">
        <f aca="false">IF(C63="A",Inputs!$B$7,IF(C63="B",Inputs!$B$8,IF(C63="C",Inputs!$B$9,0)))</f>
        <v>1</v>
      </c>
      <c r="K63" s="2" t="n">
        <f aca="false">IF(AND(E63&lt;&gt;"",G63&lt;&gt;"",J63&gt;0),IF(I63&gt;=Inputs!$B$6,1,0),0)</f>
        <v>1</v>
      </c>
      <c r="L63" s="5" t="n">
        <v>1</v>
      </c>
      <c r="M63" s="5" t="n">
        <v>2277.4746</v>
      </c>
      <c r="N63" s="5" t="n">
        <v>11.56</v>
      </c>
      <c r="O63" s="4" t="s">
        <v>64</v>
      </c>
      <c r="P63" s="2" t="n">
        <f aca="false">IF(K63=1,J63/G63^2,0)</f>
        <v>0.307957245679668</v>
      </c>
      <c r="Q63" s="2" t="n">
        <f aca="false">IF(K63=1,((E63-Result!$B$7*D63)/G63)^2,0)</f>
        <v>5.88810631191069</v>
      </c>
    </row>
    <row r="64" customFormat="false" ht="15" hidden="false" customHeight="false" outlineLevel="0" collapsed="false">
      <c r="A64" s="4" t="s">
        <v>39</v>
      </c>
      <c r="B64" s="4" t="s">
        <v>128</v>
      </c>
      <c r="C64" s="4" t="s">
        <v>63</v>
      </c>
      <c r="D64" s="5" t="n">
        <v>2287.4369</v>
      </c>
      <c r="E64" s="5" t="n">
        <v>13.95</v>
      </c>
      <c r="F64" s="5" t="n">
        <v>0.00508497065362973</v>
      </c>
      <c r="G64" s="5" t="n">
        <v>1.802</v>
      </c>
      <c r="H64" s="2" t="n">
        <f aca="false">D64*F64</f>
        <v>11.6315495085298</v>
      </c>
      <c r="I64" s="2" t="n">
        <f aca="false">IF(G64="","",D64*1000000/Inputs!$B$4^2*Inputs!$B$5/G64)</f>
        <v>6.45066159319071</v>
      </c>
      <c r="J64" s="2" t="n">
        <f aca="false">IF(C64="A",Inputs!$B$7,IF(C64="B",Inputs!$B$8,IF(C64="C",Inputs!$B$9,0)))</f>
        <v>1</v>
      </c>
      <c r="K64" s="2" t="n">
        <f aca="false">IF(AND(E64&lt;&gt;"",G64&lt;&gt;"",J64&gt;0),IF(I64&gt;=Inputs!$B$6,1,0),0)</f>
        <v>1</v>
      </c>
      <c r="L64" s="5" t="n">
        <v>1</v>
      </c>
      <c r="M64" s="5" t="n">
        <v>2287.8751</v>
      </c>
      <c r="N64" s="5" t="n">
        <v>11.633</v>
      </c>
      <c r="O64" s="4" t="s">
        <v>64</v>
      </c>
      <c r="P64" s="2" t="n">
        <f aca="false">IF(K64=1,J64/G64^2,0)</f>
        <v>0.307957245679668</v>
      </c>
      <c r="Q64" s="2" t="n">
        <f aca="false">IF(K64=1,((E64-Result!$B$7*D64)/G64)^2,0)</f>
        <v>1.75917993545109</v>
      </c>
    </row>
    <row r="65" customFormat="false" ht="15" hidden="false" customHeight="false" outlineLevel="0" collapsed="false">
      <c r="A65" s="4" t="s">
        <v>39</v>
      </c>
      <c r="B65" s="4" t="s">
        <v>129</v>
      </c>
      <c r="C65" s="4" t="s">
        <v>63</v>
      </c>
      <c r="D65" s="5" t="n">
        <v>2654.0581</v>
      </c>
      <c r="E65" s="5" t="n">
        <v>12.41</v>
      </c>
      <c r="F65" s="5" t="n">
        <v>0.00508535876783692</v>
      </c>
      <c r="G65" s="5" t="n">
        <v>1.802</v>
      </c>
      <c r="H65" s="2" t="n">
        <f aca="false">D65*F65</f>
        <v>13.4968376291836</v>
      </c>
      <c r="I65" s="2" t="n">
        <f aca="false">IF(G65="","",D65*1000000/Inputs!$B$4^2*Inputs!$B$5/G65)</f>
        <v>7.4845477275315</v>
      </c>
      <c r="J65" s="2" t="n">
        <f aca="false">IF(C65="A",Inputs!$B$7,IF(C65="B",Inputs!$B$8,IF(C65="C",Inputs!$B$9,0)))</f>
        <v>1</v>
      </c>
      <c r="K65" s="2" t="n">
        <f aca="false">IF(AND(E65&lt;&gt;"",G65&lt;&gt;"",J65&gt;0),IF(I65&gt;=Inputs!$B$6,1,0),0)</f>
        <v>1</v>
      </c>
      <c r="L65" s="5" t="n">
        <v>1</v>
      </c>
      <c r="M65" s="5" t="n">
        <v>2654.5721</v>
      </c>
      <c r="N65" s="5" t="n">
        <v>13.499</v>
      </c>
      <c r="O65" s="4" t="s">
        <v>64</v>
      </c>
      <c r="P65" s="2" t="n">
        <f aca="false">IF(K65=1,J65/G65^2,0)</f>
        <v>0.307957245679668</v>
      </c>
      <c r="Q65" s="2" t="n">
        <f aca="false">IF(K65=1,((E65-Result!$B$7*D65)/G65)^2,0)</f>
        <v>0.309630884773014</v>
      </c>
    </row>
    <row r="66" customFormat="false" ht="15" hidden="false" customHeight="false" outlineLevel="0" collapsed="false">
      <c r="A66" s="4" t="s">
        <v>39</v>
      </c>
      <c r="B66" s="4" t="s">
        <v>130</v>
      </c>
      <c r="C66" s="4" t="s">
        <v>63</v>
      </c>
      <c r="D66" s="5" t="n">
        <v>2782.4872</v>
      </c>
      <c r="E66" s="5" t="n">
        <v>13.32</v>
      </c>
      <c r="F66" s="5" t="n">
        <v>0.00508578840066186</v>
      </c>
      <c r="G66" s="5" t="n">
        <v>1.802</v>
      </c>
      <c r="H66" s="2" t="n">
        <f aca="false">D66*F66</f>
        <v>14.1511411267501</v>
      </c>
      <c r="I66" s="2" t="n">
        <f aca="false">IF(G66="","",D66*1000000/Inputs!$B$4^2*Inputs!$B$5/G66)</f>
        <v>7.84672281652218</v>
      </c>
      <c r="J66" s="2" t="n">
        <f aca="false">IF(C66="A",Inputs!$B$7,IF(C66="B",Inputs!$B$8,IF(C66="C",Inputs!$B$9,0)))</f>
        <v>1</v>
      </c>
      <c r="K66" s="2" t="n">
        <f aca="false">IF(AND(E66&lt;&gt;"",G66&lt;&gt;"",J66&gt;0),IF(I66&gt;=Inputs!$B$6,1,0),0)</f>
        <v>1</v>
      </c>
      <c r="L66" s="5" t="n">
        <v>1</v>
      </c>
      <c r="M66" s="5" t="n">
        <v>2783.0315</v>
      </c>
      <c r="N66" s="5" t="n">
        <v>14.153</v>
      </c>
      <c r="O66" s="4" t="s">
        <v>64</v>
      </c>
      <c r="P66" s="2" t="n">
        <f aca="false">IF(K66=1,J66/G66^2,0)</f>
        <v>0.307957245679668</v>
      </c>
      <c r="Q66" s="2" t="n">
        <f aca="false">IF(K66=1,((E66-Result!$B$7*D66)/G66)^2,0)</f>
        <v>0.169436377004898</v>
      </c>
    </row>
    <row r="67" customFormat="false" ht="15" hidden="false" customHeight="false" outlineLevel="0" collapsed="false">
      <c r="A67" s="4" t="s">
        <v>39</v>
      </c>
      <c r="B67" s="4" t="s">
        <v>131</v>
      </c>
      <c r="C67" s="4" t="s">
        <v>63</v>
      </c>
      <c r="D67" s="5" t="n">
        <v>4443.0779</v>
      </c>
      <c r="E67" s="5" t="n">
        <v>23.51</v>
      </c>
      <c r="F67" s="5" t="n">
        <v>0.0050860015435726</v>
      </c>
      <c r="G67" s="5" t="n">
        <v>1.802</v>
      </c>
      <c r="H67" s="2" t="n">
        <f aca="false">D67*F67</f>
        <v>22.5975010576133</v>
      </c>
      <c r="I67" s="2" t="n">
        <f aca="false">IF(G67="","",D67*1000000/Inputs!$B$4^2*Inputs!$B$5/G67)</f>
        <v>12.529653589607</v>
      </c>
      <c r="J67" s="2" t="n">
        <f aca="false">IF(C67="A",Inputs!$B$7,IF(C67="B",Inputs!$B$8,IF(C67="C",Inputs!$B$9,0)))</f>
        <v>1</v>
      </c>
      <c r="K67" s="2" t="n">
        <f aca="false">IF(AND(E67&lt;&gt;"",G67&lt;&gt;"",J67&gt;0),IF(I67&gt;=Inputs!$B$6,1,0),0)</f>
        <v>1</v>
      </c>
      <c r="L67" s="5" t="n">
        <v>1</v>
      </c>
      <c r="M67" s="5" t="n">
        <v>4443.9973</v>
      </c>
      <c r="N67" s="5" t="n">
        <v>22.601</v>
      </c>
      <c r="O67" s="4" t="s">
        <v>64</v>
      </c>
      <c r="P67" s="2" t="n">
        <f aca="false">IF(K67=1,J67/G67^2,0)</f>
        <v>0.307957245679668</v>
      </c>
      <c r="Q67" s="2" t="n">
        <f aca="false">IF(K67=1,((E67-Result!$B$7*D67)/G67)^2,0)</f>
        <v>0.343534060306105</v>
      </c>
    </row>
    <row r="68" customFormat="false" ht="15" hidden="false" customHeight="false" outlineLevel="0" collapsed="false">
      <c r="A68" s="4" t="s">
        <v>39</v>
      </c>
      <c r="B68" s="4" t="s">
        <v>132</v>
      </c>
      <c r="C68" s="4" t="s">
        <v>63</v>
      </c>
      <c r="D68" s="5" t="n">
        <v>3517.0783</v>
      </c>
      <c r="E68" s="5" t="n">
        <v>17.36</v>
      </c>
      <c r="F68" s="5" t="n">
        <v>0.00508656816350106</v>
      </c>
      <c r="G68" s="5" t="n">
        <v>1.802</v>
      </c>
      <c r="H68" s="2" t="n">
        <f aca="false">D68*F68</f>
        <v>17.8898585093204</v>
      </c>
      <c r="I68" s="2" t="n">
        <f aca="false">IF(G68="","",D68*1000000/Inputs!$B$4^2*Inputs!$B$5/G68)</f>
        <v>9.91829847199478</v>
      </c>
      <c r="J68" s="2" t="n">
        <f aca="false">IF(C68="A",Inputs!$B$7,IF(C68="B",Inputs!$B$8,IF(C68="C",Inputs!$B$9,0)))</f>
        <v>1</v>
      </c>
      <c r="K68" s="2" t="n">
        <f aca="false">IF(AND(E68&lt;&gt;"",G68&lt;&gt;"",J68&gt;0),IF(I68&gt;=Inputs!$B$6,1,0),0)</f>
        <v>1</v>
      </c>
      <c r="L68" s="5" t="n">
        <v>1</v>
      </c>
      <c r="M68" s="5" t="n">
        <v>3517.7891</v>
      </c>
      <c r="N68" s="5" t="n">
        <v>17.893</v>
      </c>
      <c r="O68" s="4" t="s">
        <v>64</v>
      </c>
      <c r="P68" s="2" t="n">
        <f aca="false">IF(K68=1,J68/G68^2,0)</f>
        <v>0.307957245679668</v>
      </c>
      <c r="Q68" s="2" t="n">
        <f aca="false">IF(K68=1,((E68-Result!$B$7*D68)/G68)^2,0)</f>
        <v>0.0528148709017121</v>
      </c>
    </row>
    <row r="69" customFormat="false" ht="15" hidden="false" customHeight="false" outlineLevel="0" collapsed="false">
      <c r="A69" s="4" t="s">
        <v>39</v>
      </c>
      <c r="B69" s="4" t="s">
        <v>133</v>
      </c>
      <c r="C69" s="4" t="s">
        <v>63</v>
      </c>
      <c r="D69" s="5" t="n">
        <v>2766.4878</v>
      </c>
      <c r="E69" s="5" t="n">
        <v>13.48</v>
      </c>
      <c r="F69" s="5" t="n">
        <v>0.00508594939972949</v>
      </c>
      <c r="G69" s="5" t="n">
        <v>1.802</v>
      </c>
      <c r="H69" s="2" t="n">
        <f aca="false">D69*F69</f>
        <v>14.070216965769</v>
      </c>
      <c r="I69" s="2" t="n">
        <f aca="false">IF(G69="","",D69*1000000/Inputs!$B$4^2*Inputs!$B$5/G69)</f>
        <v>7.80160388227131</v>
      </c>
      <c r="J69" s="2" t="n">
        <f aca="false">IF(C69="A",Inputs!$B$7,IF(C69="B",Inputs!$B$8,IF(C69="C",Inputs!$B$9,0)))</f>
        <v>1</v>
      </c>
      <c r="K69" s="2" t="n">
        <f aca="false">IF(AND(E69&lt;&gt;"",G69&lt;&gt;"",J69&gt;0),IF(I69&gt;=Inputs!$B$6,1,0),0)</f>
        <v>1</v>
      </c>
      <c r="L69" s="5" t="n">
        <v>0</v>
      </c>
      <c r="M69" s="5" t="n">
        <v>2767.0273</v>
      </c>
      <c r="N69" s="5" t="n">
        <v>14.072</v>
      </c>
      <c r="O69" s="4" t="s">
        <v>64</v>
      </c>
      <c r="P69" s="2" t="n">
        <f aca="false">IF(K69=1,J69/G69^2,0)</f>
        <v>0.307957245679668</v>
      </c>
      <c r="Q69" s="2" t="n">
        <f aca="false">IF(K69=1,((E69-Result!$B$7*D69)/G69)^2,0)</f>
        <v>0.0772653001544051</v>
      </c>
    </row>
    <row r="70" customFormat="false" ht="15" hidden="false" customHeight="false" outlineLevel="0" collapsed="false">
      <c r="A70" s="4" t="s">
        <v>39</v>
      </c>
      <c r="B70" s="4" t="s">
        <v>134</v>
      </c>
      <c r="C70" s="4" t="s">
        <v>63</v>
      </c>
      <c r="D70" s="5" t="n">
        <v>2835.2409</v>
      </c>
      <c r="E70" s="5" t="n">
        <v>16.74</v>
      </c>
      <c r="F70" s="5" t="n">
        <v>0.00508651652886063</v>
      </c>
      <c r="G70" s="5" t="n">
        <v>1.802</v>
      </c>
      <c r="H70" s="2" t="n">
        <f aca="false">D70*F70</f>
        <v>14.4214997011517</v>
      </c>
      <c r="I70" s="2" t="n">
        <f aca="false">IF(G70="","",D70*1000000/Inputs!$B$4^2*Inputs!$B$5/G70)</f>
        <v>7.99549031541524</v>
      </c>
      <c r="J70" s="2" t="n">
        <f aca="false">IF(C70="A",Inputs!$B$7,IF(C70="B",Inputs!$B$8,IF(C70="C",Inputs!$B$9,0)))</f>
        <v>1</v>
      </c>
      <c r="K70" s="2" t="n">
        <f aca="false">IF(AND(E70&lt;&gt;"",G70&lt;&gt;"",J70&gt;0),IF(I70&gt;=Inputs!$B$6,1,0),0)</f>
        <v>1</v>
      </c>
      <c r="L70" s="5" t="n">
        <v>0</v>
      </c>
      <c r="M70" s="5" t="n">
        <v>2835.8038</v>
      </c>
      <c r="N70" s="5" t="n">
        <v>14.421</v>
      </c>
      <c r="O70" s="4" t="s">
        <v>64</v>
      </c>
      <c r="P70" s="2" t="n">
        <f aca="false">IF(K70=1,J70/G70^2,0)</f>
        <v>0.307957245679668</v>
      </c>
      <c r="Q70" s="2" t="n">
        <f aca="false">IF(K70=1,((E70-Result!$B$7*D70)/G70)^2,0)</f>
        <v>1.79109598600182</v>
      </c>
    </row>
    <row r="71" customFormat="false" ht="15" hidden="false" customHeight="false" outlineLevel="0" collapsed="false">
      <c r="A71" s="4" t="s">
        <v>39</v>
      </c>
      <c r="B71" s="4" t="s">
        <v>135</v>
      </c>
      <c r="C71" s="4" t="s">
        <v>63</v>
      </c>
      <c r="D71" s="5" t="n">
        <v>3004.3342</v>
      </c>
      <c r="E71" s="5" t="n">
        <v>13.99</v>
      </c>
      <c r="F71" s="5" t="n">
        <v>0.00508663555471287</v>
      </c>
      <c r="G71" s="5" t="n">
        <v>1.802</v>
      </c>
      <c r="H71" s="2" t="n">
        <f aca="false">D71*F71</f>
        <v>15.2819531599599</v>
      </c>
      <c r="I71" s="2" t="n">
        <f aca="false">IF(G71="","",D71*1000000/Inputs!$B$4^2*Inputs!$B$5/G71)</f>
        <v>8.47234004009</v>
      </c>
      <c r="J71" s="2" t="n">
        <f aca="false">IF(C71="A",Inputs!$B$7,IF(C71="B",Inputs!$B$8,IF(C71="C",Inputs!$B$9,0)))</f>
        <v>1</v>
      </c>
      <c r="K71" s="2" t="n">
        <f aca="false">IF(AND(E71&lt;&gt;"",G71&lt;&gt;"",J71&gt;0),IF(I71&gt;=Inputs!$B$6,1,0),0)</f>
        <v>1</v>
      </c>
      <c r="L71" s="5" t="n">
        <v>1</v>
      </c>
      <c r="M71" s="5" t="n">
        <v>3004.9603</v>
      </c>
      <c r="N71" s="5" t="n">
        <v>15.284</v>
      </c>
      <c r="O71" s="4" t="s">
        <v>64</v>
      </c>
      <c r="P71" s="2" t="n">
        <f aca="false">IF(K71=1,J71/G71^2,0)</f>
        <v>0.307957245679668</v>
      </c>
      <c r="Q71" s="2" t="n">
        <f aca="false">IF(K71=1,((E71-Result!$B$7*D71)/G71)^2,0)</f>
        <v>0.438219606962884</v>
      </c>
    </row>
    <row r="72" customFormat="false" ht="15" hidden="false" customHeight="false" outlineLevel="0" collapsed="false">
      <c r="A72" s="4" t="s">
        <v>39</v>
      </c>
      <c r="B72" s="4" t="s">
        <v>136</v>
      </c>
      <c r="C72" s="4" t="s">
        <v>63</v>
      </c>
      <c r="D72" s="5" t="n">
        <v>4531.3521</v>
      </c>
      <c r="E72" s="5" t="n">
        <v>23.31</v>
      </c>
      <c r="F72" s="5" t="n">
        <v>0.00508703666909724</v>
      </c>
      <c r="G72" s="5" t="n">
        <v>1.802</v>
      </c>
      <c r="H72" s="2" t="n">
        <f aca="false">D72*F72</f>
        <v>23.0511542932908</v>
      </c>
      <c r="I72" s="2" t="n">
        <f aca="false">IF(G72="","",D72*1000000/Inputs!$B$4^2*Inputs!$B$5/G72)</f>
        <v>12.7785902888487</v>
      </c>
      <c r="J72" s="2" t="n">
        <f aca="false">IF(C72="A",Inputs!$B$7,IF(C72="B",Inputs!$B$8,IF(C72="C",Inputs!$B$9,0)))</f>
        <v>1</v>
      </c>
      <c r="K72" s="2" t="n">
        <f aca="false">IF(AND(E72&lt;&gt;"",G72&lt;&gt;"",J72&gt;0),IF(I72&gt;=Inputs!$B$6,1,0),0)</f>
        <v>1</v>
      </c>
      <c r="L72" s="5" t="n">
        <v>1</v>
      </c>
      <c r="M72" s="5" t="n">
        <v>4532.3007</v>
      </c>
      <c r="N72" s="5" t="n">
        <v>23.055</v>
      </c>
      <c r="O72" s="4" t="s">
        <v>64</v>
      </c>
      <c r="P72" s="2" t="n">
        <f aca="false">IF(K72=1,J72/G72^2,0)</f>
        <v>0.307957245679668</v>
      </c>
      <c r="Q72" s="2" t="n">
        <f aca="false">IF(K72=1,((E72-Result!$B$7*D72)/G72)^2,0)</f>
        <v>0.0517868688986179</v>
      </c>
    </row>
    <row r="73" customFormat="false" ht="15" hidden="false" customHeight="false" outlineLevel="0" collapsed="false">
      <c r="A73" s="4" t="s">
        <v>39</v>
      </c>
      <c r="B73" s="4" t="s">
        <v>137</v>
      </c>
      <c r="C73" s="4" t="s">
        <v>63</v>
      </c>
      <c r="D73" s="5" t="n">
        <v>2172.2002</v>
      </c>
      <c r="E73" s="5" t="n">
        <v>12.93</v>
      </c>
      <c r="F73" s="5" t="n">
        <v>0.00508741712484424</v>
      </c>
      <c r="G73" s="5" t="n">
        <v>1.802</v>
      </c>
      <c r="H73" s="2" t="n">
        <f aca="false">D73*F73</f>
        <v>11.0508884960701</v>
      </c>
      <c r="I73" s="2" t="n">
        <f aca="false">IF(G73="","",D73*1000000/Inputs!$B$4^2*Inputs!$B$5/G73)</f>
        <v>6.12568958857889</v>
      </c>
      <c r="J73" s="2" t="n">
        <f aca="false">IF(C73="A",Inputs!$B$7,IF(C73="B",Inputs!$B$8,IF(C73="C",Inputs!$B$9,0)))</f>
        <v>1</v>
      </c>
      <c r="K73" s="2" t="n">
        <f aca="false">IF(AND(E73&lt;&gt;"",G73&lt;&gt;"",J73&gt;0),IF(I73&gt;=Inputs!$B$6,1,0),0)</f>
        <v>1</v>
      </c>
      <c r="L73" s="5" t="n">
        <v>0</v>
      </c>
      <c r="M73" s="5" t="n">
        <v>2172.6183</v>
      </c>
      <c r="N73" s="5" t="n">
        <v>11.053</v>
      </c>
      <c r="O73" s="4" t="s">
        <v>64</v>
      </c>
      <c r="P73" s="2" t="n">
        <f aca="false">IF(K73=1,J73/G73^2,0)</f>
        <v>0.307957245679668</v>
      </c>
      <c r="Q73" s="2" t="n">
        <f aca="false">IF(K73=1,((E73-Result!$B$7*D73)/G73)^2,0)</f>
        <v>1.17393197943603</v>
      </c>
    </row>
    <row r="74" customFormat="false" ht="15" hidden="false" customHeight="false" outlineLevel="0" collapsed="false">
      <c r="A74" s="4" t="s">
        <v>39</v>
      </c>
      <c r="B74" s="4" t="s">
        <v>138</v>
      </c>
      <c r="C74" s="4" t="s">
        <v>63</v>
      </c>
      <c r="D74" s="5" t="n">
        <v>2278.67</v>
      </c>
      <c r="E74" s="5" t="n">
        <v>10.11</v>
      </c>
      <c r="F74" s="5" t="n">
        <v>0.00508677496612036</v>
      </c>
      <c r="G74" s="5" t="n">
        <v>1.802</v>
      </c>
      <c r="H74" s="2" t="n">
        <f aca="false">D74*F74</f>
        <v>11.5910815120495</v>
      </c>
      <c r="I74" s="2" t="n">
        <f aca="false">IF(G74="","",D74*1000000/Inputs!$B$4^2*Inputs!$B$5/G74)</f>
        <v>6.42593859203542</v>
      </c>
      <c r="J74" s="2" t="n">
        <f aca="false">IF(C74="A",Inputs!$B$7,IF(C74="B",Inputs!$B$8,IF(C74="C",Inputs!$B$9,0)))</f>
        <v>1</v>
      </c>
      <c r="K74" s="2" t="n">
        <f aca="false">IF(AND(E74&lt;&gt;"",G74&lt;&gt;"",J74&gt;0),IF(I74&gt;=Inputs!$B$6,1,0),0)</f>
        <v>1</v>
      </c>
      <c r="L74" s="5" t="n">
        <v>1</v>
      </c>
      <c r="M74" s="5" t="n">
        <v>2279.1044</v>
      </c>
      <c r="N74" s="5" t="n">
        <v>11.593</v>
      </c>
      <c r="O74" s="4" t="s">
        <v>64</v>
      </c>
      <c r="P74" s="2" t="n">
        <f aca="false">IF(K74=1,J74/G74^2,0)</f>
        <v>0.307957245679668</v>
      </c>
      <c r="Q74" s="2" t="n">
        <f aca="false">IF(K74=1,((E74-Result!$B$7*D74)/G74)^2,0)</f>
        <v>0.608459660147258</v>
      </c>
    </row>
    <row r="75" customFormat="false" ht="15" hidden="false" customHeight="false" outlineLevel="0" collapsed="false">
      <c r="A75" s="4" t="s">
        <v>39</v>
      </c>
      <c r="B75" s="4" t="s">
        <v>139</v>
      </c>
      <c r="C75" s="4" t="s">
        <v>63</v>
      </c>
      <c r="D75" s="5" t="n">
        <v>2418.9021</v>
      </c>
      <c r="E75" s="5" t="n">
        <v>11.81</v>
      </c>
      <c r="F75" s="5" t="n">
        <v>0.0050872110016357</v>
      </c>
      <c r="G75" s="5" t="n">
        <v>1.802</v>
      </c>
      <c r="H75" s="2" t="n">
        <f aca="false">D75*F75</f>
        <v>12.3054653749997</v>
      </c>
      <c r="I75" s="2" t="n">
        <f aca="false">IF(G75="","",D75*1000000/Inputs!$B$4^2*Inputs!$B$5/G75)</f>
        <v>6.82139860302085</v>
      </c>
      <c r="J75" s="2" t="n">
        <f aca="false">IF(C75="A",Inputs!$B$7,IF(C75="B",Inputs!$B$8,IF(C75="C",Inputs!$B$9,0)))</f>
        <v>1</v>
      </c>
      <c r="K75" s="2" t="n">
        <f aca="false">IF(AND(E75&lt;&gt;"",G75&lt;&gt;"",J75&gt;0),IF(I75&gt;=Inputs!$B$6,1,0),0)</f>
        <v>1</v>
      </c>
      <c r="L75" s="5" t="n">
        <v>1</v>
      </c>
      <c r="M75" s="5" t="n">
        <v>2419.3687</v>
      </c>
      <c r="N75" s="5" t="n">
        <v>12.307</v>
      </c>
      <c r="O75" s="4" t="s">
        <v>64</v>
      </c>
      <c r="P75" s="2" t="n">
        <f aca="false">IF(K75=1,J75/G75^2,0)</f>
        <v>0.307957245679668</v>
      </c>
      <c r="Q75" s="2" t="n">
        <f aca="false">IF(K75=1,((E75-Result!$B$7*D75)/G75)^2,0)</f>
        <v>0.0528628913097579</v>
      </c>
    </row>
    <row r="76" customFormat="false" ht="15" hidden="false" customHeight="false" outlineLevel="0" collapsed="false">
      <c r="A76" s="4" t="s">
        <v>39</v>
      </c>
      <c r="B76" s="4" t="s">
        <v>140</v>
      </c>
      <c r="C76" s="4" t="s">
        <v>63</v>
      </c>
      <c r="D76" s="5" t="n">
        <v>2098.5446</v>
      </c>
      <c r="E76" s="5" t="n">
        <v>8.29</v>
      </c>
      <c r="F76" s="5" t="n">
        <v>0.00508677234435524</v>
      </c>
      <c r="G76" s="5" t="n">
        <v>1.802</v>
      </c>
      <c r="H76" s="2" t="n">
        <f aca="false">D76*F76</f>
        <v>10.674818634676</v>
      </c>
      <c r="I76" s="2" t="n">
        <f aca="false">IF(G76="","",D76*1000000/Inputs!$B$4^2*Inputs!$B$5/G76)</f>
        <v>5.91797791354059</v>
      </c>
      <c r="J76" s="2" t="n">
        <f aca="false">IF(C76="A",Inputs!$B$7,IF(C76="B",Inputs!$B$8,IF(C76="C",Inputs!$B$9,0)))</f>
        <v>1</v>
      </c>
      <c r="K76" s="2" t="n">
        <f aca="false">IF(AND(E76&lt;&gt;"",G76&lt;&gt;"",J76&gt;0),IF(I76&gt;=Inputs!$B$6,1,0),0)</f>
        <v>1</v>
      </c>
      <c r="L76" s="5" t="n">
        <v>0</v>
      </c>
      <c r="M76" s="5" t="n">
        <v>2098.9432</v>
      </c>
      <c r="N76" s="5" t="n">
        <v>10.677</v>
      </c>
      <c r="O76" s="4" t="s">
        <v>64</v>
      </c>
      <c r="P76" s="2" t="n">
        <f aca="false">IF(K76=1,J76/G76^2,0)</f>
        <v>0.307957245679668</v>
      </c>
      <c r="Q76" s="2" t="n">
        <f aca="false">IF(K76=1,((E76-Result!$B$7*D76)/G76)^2,0)</f>
        <v>1.65089121805669</v>
      </c>
    </row>
    <row r="77" customFormat="false" ht="15" hidden="false" customHeight="false" outlineLevel="0" collapsed="false">
      <c r="A77" s="4" t="s">
        <v>39</v>
      </c>
      <c r="B77" s="4" t="s">
        <v>141</v>
      </c>
      <c r="C77" s="4" t="s">
        <v>63</v>
      </c>
      <c r="D77" s="5" t="n">
        <v>2172.2025</v>
      </c>
      <c r="E77" s="5" t="n">
        <v>10.23</v>
      </c>
      <c r="F77" s="5" t="n">
        <v>0.00508720840104949</v>
      </c>
      <c r="G77" s="5" t="n">
        <v>1.802</v>
      </c>
      <c r="H77" s="2" t="n">
        <f aca="false">D77*F77</f>
        <v>11.0504468067807</v>
      </c>
      <c r="I77" s="2" t="n">
        <f aca="false">IF(G77="","",D77*1000000/Inputs!$B$4^2*Inputs!$B$5/G77)</f>
        <v>6.12569607466892</v>
      </c>
      <c r="J77" s="2" t="n">
        <f aca="false">IF(C77="A",Inputs!$B$7,IF(C77="B",Inputs!$B$8,IF(C77="C",Inputs!$B$9,0)))</f>
        <v>1</v>
      </c>
      <c r="K77" s="2" t="n">
        <f aca="false">IF(AND(E77&lt;&gt;"",G77&lt;&gt;"",J77&gt;0),IF(I77&gt;=Inputs!$B$6,1,0),0)</f>
        <v>1</v>
      </c>
      <c r="L77" s="5" t="n">
        <v>0</v>
      </c>
      <c r="M77" s="5" t="n">
        <v>2172.6214</v>
      </c>
      <c r="N77" s="5" t="n">
        <v>11.052</v>
      </c>
      <c r="O77" s="4" t="s">
        <v>64</v>
      </c>
      <c r="P77" s="2" t="n">
        <f aca="false">IF(K77=1,J77/G77^2,0)</f>
        <v>0.307957245679668</v>
      </c>
      <c r="Q77" s="2" t="n">
        <f aca="false">IF(K77=1,((E77-Result!$B$7*D77)/G77)^2,0)</f>
        <v>0.172108999761202</v>
      </c>
    </row>
    <row r="78" customFormat="false" ht="15" hidden="false" customHeight="false" outlineLevel="0" collapsed="false">
      <c r="A78" s="4" t="s">
        <v>39</v>
      </c>
      <c r="B78" s="4" t="s">
        <v>142</v>
      </c>
      <c r="C78" s="4" t="s">
        <v>63</v>
      </c>
      <c r="D78" s="5" t="n">
        <v>2012.564</v>
      </c>
      <c r="E78" s="5" t="n">
        <v>11.32</v>
      </c>
      <c r="F78" s="5" t="n">
        <v>0.00508749341877871</v>
      </c>
      <c r="G78" s="5" t="n">
        <v>1.802</v>
      </c>
      <c r="H78" s="2" t="n">
        <f aca="false">D78*F78</f>
        <v>10.238906104871</v>
      </c>
      <c r="I78" s="2" t="n">
        <f aca="false">IF(G78="","",D78*1000000/Inputs!$B$4^2*Inputs!$B$5/G78)</f>
        <v>5.67550925607533</v>
      </c>
      <c r="J78" s="2" t="n">
        <f aca="false">IF(C78="A",Inputs!$B$7,IF(C78="B",Inputs!$B$8,IF(C78="C",Inputs!$B$9,0)))</f>
        <v>1</v>
      </c>
      <c r="K78" s="2" t="n">
        <f aca="false">IF(AND(E78&lt;&gt;"",G78&lt;&gt;"",J78&gt;0),IF(I78&gt;=Inputs!$B$6,1,0),0)</f>
        <v>1</v>
      </c>
      <c r="L78" s="5" t="n">
        <v>0</v>
      </c>
      <c r="M78" s="5" t="n">
        <v>2012.9423</v>
      </c>
      <c r="N78" s="5" t="n">
        <v>10.24</v>
      </c>
      <c r="O78" s="4" t="s">
        <v>64</v>
      </c>
      <c r="P78" s="2" t="n">
        <f aca="false">IF(K78=1,J78/G78^2,0)</f>
        <v>0.307957245679668</v>
      </c>
      <c r="Q78" s="2" t="n">
        <f aca="false">IF(K78=1,((E78-Result!$B$7*D78)/G78)^2,0)</f>
        <v>0.406693546960501</v>
      </c>
    </row>
    <row r="79" customFormat="false" ht="15" hidden="false" customHeight="false" outlineLevel="0" collapsed="false">
      <c r="A79" s="4" t="s">
        <v>39</v>
      </c>
      <c r="B79" s="4" t="s">
        <v>143</v>
      </c>
      <c r="C79" s="4" t="s">
        <v>63</v>
      </c>
      <c r="D79" s="5" t="n">
        <v>2252.3238</v>
      </c>
      <c r="E79" s="5" t="n">
        <v>12.9</v>
      </c>
      <c r="F79" s="5" t="n">
        <v>0.00508749128297523</v>
      </c>
      <c r="G79" s="5" t="n">
        <v>1.802</v>
      </c>
      <c r="H79" s="2" t="n">
        <f aca="false">D79*F79</f>
        <v>11.4586776989376</v>
      </c>
      <c r="I79" s="2" t="n">
        <f aca="false">IF(G79="","",D79*1000000/Inputs!$B$4^2*Inputs!$B$5/G79)</f>
        <v>6.3516412767886</v>
      </c>
      <c r="J79" s="2" t="n">
        <f aca="false">IF(C79="A",Inputs!$B$7,IF(C79="B",Inputs!$B$8,IF(C79="C",Inputs!$B$9,0)))</f>
        <v>1</v>
      </c>
      <c r="K79" s="2" t="n">
        <f aca="false">IF(AND(E79&lt;&gt;"",G79&lt;&gt;"",J79&gt;0),IF(I79&gt;=Inputs!$B$6,1,0),0)</f>
        <v>1</v>
      </c>
      <c r="L79" s="5" t="n">
        <v>1</v>
      </c>
      <c r="M79" s="5" t="n">
        <v>2252.7509</v>
      </c>
      <c r="N79" s="5" t="n">
        <v>11.46</v>
      </c>
      <c r="O79" s="4" t="s">
        <v>64</v>
      </c>
      <c r="P79" s="2" t="n">
        <f aca="false">IF(K79=1,J79/G79^2,0)</f>
        <v>0.307957245679668</v>
      </c>
      <c r="Q79" s="2" t="n">
        <f aca="false">IF(K79=1,((E79-Result!$B$7*D79)/G79)^2,0)</f>
        <v>0.709180718984667</v>
      </c>
    </row>
    <row r="80" customFormat="false" ht="15" hidden="false" customHeight="false" outlineLevel="0" collapsed="false">
      <c r="A80" s="4" t="s">
        <v>39</v>
      </c>
      <c r="B80" s="4" t="s">
        <v>144</v>
      </c>
      <c r="C80" s="4" t="s">
        <v>63</v>
      </c>
      <c r="D80" s="5" t="n">
        <v>37.4324</v>
      </c>
      <c r="E80" s="5" t="n">
        <v>4.9</v>
      </c>
      <c r="F80" s="5" t="n">
        <v>0.00508770508175596</v>
      </c>
      <c r="G80" s="5" t="n">
        <v>1.802</v>
      </c>
      <c r="H80" s="2" t="n">
        <f aca="false">D80*F80</f>
        <v>0.190445011702322</v>
      </c>
      <c r="I80" s="2" t="n">
        <f aca="false">IF(G80="","",D80*1000000/Inputs!$B$4^2*Inputs!$B$5/G80)</f>
        <v>0.105560833184492</v>
      </c>
      <c r="J80" s="2" t="n">
        <f aca="false">IF(C80="A",Inputs!$B$7,IF(C80="B",Inputs!$B$8,IF(C80="C",Inputs!$B$9,0)))</f>
        <v>1</v>
      </c>
      <c r="K80" s="2" t="n">
        <f aca="false">IF(AND(E80&lt;&gt;"",G80&lt;&gt;"",J80&gt;0),IF(I80&gt;=Inputs!$B$6,1,0),0)</f>
        <v>0</v>
      </c>
      <c r="L80" s="5" t="n">
        <v>1</v>
      </c>
      <c r="M80" s="5" t="n">
        <v>37.4408</v>
      </c>
      <c r="N80" s="5" t="n">
        <v>0.19</v>
      </c>
      <c r="O80" s="4" t="s">
        <v>64</v>
      </c>
      <c r="P80" s="2" t="n">
        <f aca="false">IF(K80=1,J80/G80^2,0)</f>
        <v>0</v>
      </c>
      <c r="Q80" s="2" t="n">
        <f aca="false">IF(K80=1,((E80-Result!$B$7*D80)/G80)^2,0)</f>
        <v>0</v>
      </c>
    </row>
    <row r="81" customFormat="false" ht="15" hidden="false" customHeight="false" outlineLevel="0" collapsed="false">
      <c r="A81" s="4" t="s">
        <v>39</v>
      </c>
      <c r="B81" s="4" t="s">
        <v>145</v>
      </c>
      <c r="C81" s="4" t="s">
        <v>63</v>
      </c>
      <c r="D81" s="5" t="n">
        <v>277.1954</v>
      </c>
      <c r="E81" s="5" t="n">
        <v>6.48</v>
      </c>
      <c r="F81" s="5" t="n">
        <v>0.00508750416643554</v>
      </c>
      <c r="G81" s="5" t="n">
        <v>1.802</v>
      </c>
      <c r="H81" s="2" t="n">
        <f aca="false">D81*F81</f>
        <v>1.41023275241677</v>
      </c>
      <c r="I81" s="2" t="n">
        <f aca="false">IF(G81="","",D81*1000000/Inputs!$B$4^2*Inputs!$B$5/G81)</f>
        <v>0.781701878023012</v>
      </c>
      <c r="J81" s="2" t="n">
        <f aca="false">IF(C81="A",Inputs!$B$7,IF(C81="B",Inputs!$B$8,IF(C81="C",Inputs!$B$9,0)))</f>
        <v>1</v>
      </c>
      <c r="K81" s="2" t="n">
        <f aca="false">IF(AND(E81&lt;&gt;"",G81&lt;&gt;"",J81&gt;0),IF(I81&gt;=Inputs!$B$6,1,0),0)</f>
        <v>0</v>
      </c>
      <c r="L81" s="5" t="n">
        <v>0</v>
      </c>
      <c r="M81" s="5" t="n">
        <v>277.2495</v>
      </c>
      <c r="N81" s="5" t="n">
        <v>1.41</v>
      </c>
      <c r="O81" s="4" t="s">
        <v>64</v>
      </c>
      <c r="P81" s="2" t="n">
        <f aca="false">IF(K81=1,J81/G81^2,0)</f>
        <v>0</v>
      </c>
      <c r="Q81" s="2" t="n">
        <f aca="false">IF(K81=1,((E81-Result!$B$7*D81)/G81)^2,0)</f>
        <v>0</v>
      </c>
    </row>
    <row r="82" customFormat="false" ht="15" hidden="false" customHeight="false" outlineLevel="0" collapsed="false">
      <c r="A82" s="4" t="s">
        <v>39</v>
      </c>
      <c r="B82" s="4" t="s">
        <v>146</v>
      </c>
      <c r="C82" s="4" t="s">
        <v>63</v>
      </c>
      <c r="D82" s="5" t="n">
        <v>1143.2499</v>
      </c>
      <c r="E82" s="5" t="n">
        <v>7.18</v>
      </c>
      <c r="F82" s="5" t="n">
        <v>0.00508364877230584</v>
      </c>
      <c r="G82" s="5" t="n">
        <v>1.802</v>
      </c>
      <c r="H82" s="2" t="n">
        <f aca="false">D82*F82</f>
        <v>5.81188095057377</v>
      </c>
      <c r="I82" s="2" t="n">
        <f aca="false">IF(G82="","",D82*1000000/Inputs!$B$4^2*Inputs!$B$5/G82)</f>
        <v>3.2240094672553</v>
      </c>
      <c r="J82" s="2" t="n">
        <f aca="false">IF(C82="A",Inputs!$B$7,IF(C82="B",Inputs!$B$8,IF(C82="C",Inputs!$B$9,0)))</f>
        <v>1</v>
      </c>
      <c r="K82" s="2" t="n">
        <f aca="false">IF(AND(E82&lt;&gt;"",G82&lt;&gt;"",J82&gt;0),IF(I82&gt;=Inputs!$B$6,1,0),0)</f>
        <v>1</v>
      </c>
      <c r="L82" s="5" t="n">
        <v>0</v>
      </c>
      <c r="M82" s="5" t="n">
        <v>1143.4635</v>
      </c>
      <c r="N82" s="5" t="n">
        <v>5.813</v>
      </c>
      <c r="O82" s="4" t="s">
        <v>64</v>
      </c>
      <c r="P82" s="2" t="n">
        <f aca="false">IF(K82=1,J82/G82^2,0)</f>
        <v>0.307957245679668</v>
      </c>
      <c r="Q82" s="2" t="n">
        <f aca="false">IF(K82=1,((E82-Result!$B$7*D82)/G82)^2,0)</f>
        <v>0.605668277553931</v>
      </c>
    </row>
    <row r="83" customFormat="false" ht="15" hidden="false" customHeight="false" outlineLevel="0" collapsed="false">
      <c r="A83" s="4" t="s">
        <v>39</v>
      </c>
      <c r="B83" s="4" t="s">
        <v>147</v>
      </c>
      <c r="C83" s="4" t="s">
        <v>63</v>
      </c>
      <c r="D83" s="5" t="n">
        <v>1302.2422</v>
      </c>
      <c r="E83" s="5" t="n">
        <v>5.08</v>
      </c>
      <c r="F83" s="5" t="n">
        <v>0.00508348572542716</v>
      </c>
      <c r="G83" s="5" t="n">
        <v>1.802</v>
      </c>
      <c r="H83" s="2" t="n">
        <f aca="false">D83*F83</f>
        <v>6.61992963474886</v>
      </c>
      <c r="I83" s="2" t="n">
        <f aca="false">IF(G83="","",D83*1000000/Inputs!$B$4^2*Inputs!$B$5/G83)</f>
        <v>3.67237397655523</v>
      </c>
      <c r="J83" s="2" t="n">
        <f aca="false">IF(C83="A",Inputs!$B$7,IF(C83="B",Inputs!$B$8,IF(C83="C",Inputs!$B$9,0)))</f>
        <v>1</v>
      </c>
      <c r="K83" s="2" t="n">
        <f aca="false">IF(AND(E83&lt;&gt;"",G83&lt;&gt;"",J83&gt;0),IF(I83&gt;=Inputs!$B$6,1,0),0)</f>
        <v>1</v>
      </c>
      <c r="L83" s="5" t="n">
        <v>0</v>
      </c>
      <c r="M83" s="5" t="n">
        <v>1302.4851</v>
      </c>
      <c r="N83" s="5" t="n">
        <v>6.621</v>
      </c>
      <c r="O83" s="4" t="s">
        <v>64</v>
      </c>
      <c r="P83" s="2" t="n">
        <f aca="false">IF(K83=1,J83/G83^2,0)</f>
        <v>0.307957245679668</v>
      </c>
      <c r="Q83" s="2" t="n">
        <f aca="false">IF(K83=1,((E83-Result!$B$7*D83)/G83)^2,0)</f>
        <v>0.693913453001649</v>
      </c>
    </row>
    <row r="84" customFormat="false" ht="15" hidden="false" customHeight="false" outlineLevel="0" collapsed="false">
      <c r="A84" s="4" t="s">
        <v>39</v>
      </c>
      <c r="B84" s="4" t="s">
        <v>148</v>
      </c>
      <c r="C84" s="4" t="s">
        <v>63</v>
      </c>
      <c r="D84" s="5" t="n">
        <v>1188.3732</v>
      </c>
      <c r="E84" s="5" t="n">
        <v>3.97</v>
      </c>
      <c r="F84" s="5" t="n">
        <v>0.00508366974170034</v>
      </c>
      <c r="G84" s="5" t="n">
        <v>1.802</v>
      </c>
      <c r="H84" s="2" t="n">
        <f aca="false">D84*F84</f>
        <v>6.04129687868761</v>
      </c>
      <c r="I84" s="2" t="n">
        <f aca="false">IF(G84="","",D84*1000000/Inputs!$B$4^2*Inputs!$B$5/G84)</f>
        <v>3.35125893947813</v>
      </c>
      <c r="J84" s="2" t="n">
        <f aca="false">IF(C84="A",Inputs!$B$7,IF(C84="B",Inputs!$B$8,IF(C84="C",Inputs!$B$9,0)))</f>
        <v>1</v>
      </c>
      <c r="K84" s="2" t="n">
        <f aca="false">IF(AND(E84&lt;&gt;"",G84&lt;&gt;"",J84&gt;0),IF(I84&gt;=Inputs!$B$6,1,0),0)</f>
        <v>1</v>
      </c>
      <c r="L84" s="5" t="n">
        <v>0</v>
      </c>
      <c r="M84" s="5" t="n">
        <v>1188.5939</v>
      </c>
      <c r="N84" s="5" t="n">
        <v>6.042</v>
      </c>
      <c r="O84" s="4" t="s">
        <v>64</v>
      </c>
      <c r="P84" s="2" t="n">
        <f aca="false">IF(K84=1,J84/G84^2,0)</f>
        <v>0.307957245679668</v>
      </c>
      <c r="Q84" s="2" t="n">
        <f aca="false">IF(K84=1,((E84-Result!$B$7*D84)/G84)^2,0)</f>
        <v>1.27611873204782</v>
      </c>
    </row>
    <row r="85" customFormat="false" ht="15" hidden="false" customHeight="false" outlineLevel="0" collapsed="false">
      <c r="A85" s="4" t="s">
        <v>39</v>
      </c>
      <c r="B85" s="4" t="s">
        <v>149</v>
      </c>
      <c r="C85" s="4" t="s">
        <v>63</v>
      </c>
      <c r="D85" s="5" t="n">
        <v>1257.1215</v>
      </c>
      <c r="E85" s="5" t="n">
        <v>8.29</v>
      </c>
      <c r="F85" s="5" t="n">
        <v>0.00508346005791269</v>
      </c>
      <c r="G85" s="5" t="n">
        <v>1.802</v>
      </c>
      <c r="H85" s="2" t="n">
        <f aca="false">D85*F85</f>
        <v>6.39052693319329</v>
      </c>
      <c r="I85" s="2" t="n">
        <f aca="false">IF(G85="","",D85*1000000/Inputs!$B$4^2*Inputs!$B$5/G85)</f>
        <v>3.54513183643417</v>
      </c>
      <c r="J85" s="2" t="n">
        <f aca="false">IF(C85="A",Inputs!$B$7,IF(C85="B",Inputs!$B$8,IF(C85="C",Inputs!$B$9,0)))</f>
        <v>1</v>
      </c>
      <c r="K85" s="2" t="n">
        <f aca="false">IF(AND(E85&lt;&gt;"",G85&lt;&gt;"",J85&gt;0),IF(I85&gt;=Inputs!$B$6,1,0),0)</f>
        <v>1</v>
      </c>
      <c r="L85" s="5" t="n">
        <v>0</v>
      </c>
      <c r="M85" s="5" t="n">
        <v>1257.3547</v>
      </c>
      <c r="N85" s="5" t="n">
        <v>6.392</v>
      </c>
      <c r="O85" s="4" t="s">
        <v>64</v>
      </c>
      <c r="P85" s="2" t="n">
        <f aca="false">IF(K85=1,J85/G85^2,0)</f>
        <v>0.307957245679668</v>
      </c>
      <c r="Q85" s="2" t="n">
        <f aca="false">IF(K85=1,((E85-Result!$B$7*D85)/G85)^2,0)</f>
        <v>1.15536531602533</v>
      </c>
    </row>
    <row r="86" customFormat="false" ht="15" hidden="false" customHeight="false" outlineLevel="0" collapsed="false">
      <c r="A86" s="4" t="s">
        <v>39</v>
      </c>
      <c r="B86" s="4" t="s">
        <v>150</v>
      </c>
      <c r="C86" s="4" t="s">
        <v>63</v>
      </c>
      <c r="D86" s="5" t="n">
        <v>1191.8548</v>
      </c>
      <c r="E86" s="5" t="n">
        <v>7.58</v>
      </c>
      <c r="F86" s="5" t="n">
        <v>0.00508364400097011</v>
      </c>
      <c r="G86" s="5" t="n">
        <v>1.802</v>
      </c>
      <c r="H86" s="2" t="n">
        <f aca="false">D86*F86</f>
        <v>6.05896550404744</v>
      </c>
      <c r="I86" s="2" t="n">
        <f aca="false">IF(G86="","",D86*1000000/Inputs!$B$4^2*Inputs!$B$5/G86)</f>
        <v>3.36107718775543</v>
      </c>
      <c r="J86" s="2" t="n">
        <f aca="false">IF(C86="A",Inputs!$B$7,IF(C86="B",Inputs!$B$8,IF(C86="C",Inputs!$B$9,0)))</f>
        <v>1</v>
      </c>
      <c r="K86" s="2" t="n">
        <f aca="false">IF(AND(E86&lt;&gt;"",G86&lt;&gt;"",J86&gt;0),IF(I86&gt;=Inputs!$B$6,1,0),0)</f>
        <v>1</v>
      </c>
      <c r="L86" s="5" t="n">
        <v>0</v>
      </c>
      <c r="M86" s="5" t="n">
        <v>1192.077</v>
      </c>
      <c r="N86" s="5" t="n">
        <v>6.06</v>
      </c>
      <c r="O86" s="4" t="s">
        <v>64</v>
      </c>
      <c r="P86" s="2" t="n">
        <f aca="false">IF(K86=1,J86/G86^2,0)</f>
        <v>0.307957245679668</v>
      </c>
      <c r="Q86" s="2" t="n">
        <f aca="false">IF(K86=1,((E86-Result!$B$7*D86)/G86)^2,0)</f>
        <v>0.74634277442707</v>
      </c>
    </row>
    <row r="87" customFormat="false" ht="15" hidden="false" customHeight="false" outlineLevel="0" collapsed="false">
      <c r="A87" s="4" t="s">
        <v>39</v>
      </c>
      <c r="B87" s="4" t="s">
        <v>151</v>
      </c>
      <c r="C87" s="4" t="s">
        <v>63</v>
      </c>
      <c r="D87" s="5" t="n">
        <v>1168.0895</v>
      </c>
      <c r="E87" s="5" t="n">
        <v>5.27</v>
      </c>
      <c r="F87" s="5" t="n">
        <v>0.00508345527467864</v>
      </c>
      <c r="G87" s="5" t="n">
        <v>1.802</v>
      </c>
      <c r="H87" s="2" t="n">
        <f aca="false">D87*F87</f>
        <v>5.93793073007173</v>
      </c>
      <c r="I87" s="2" t="n">
        <f aca="false">IF(G87="","",D87*1000000/Inputs!$B$4^2*Inputs!$B$5/G87)</f>
        <v>3.29405811153057</v>
      </c>
      <c r="J87" s="2" t="n">
        <f aca="false">IF(C87="A",Inputs!$B$7,IF(C87="B",Inputs!$B$8,IF(C87="C",Inputs!$B$9,0)))</f>
        <v>1</v>
      </c>
      <c r="K87" s="2" t="n">
        <f aca="false">IF(AND(E87&lt;&gt;"",G87&lt;&gt;"",J87&gt;0),IF(I87&gt;=Inputs!$B$6,1,0),0)</f>
        <v>1</v>
      </c>
      <c r="L87" s="5" t="n">
        <v>0</v>
      </c>
      <c r="M87" s="5" t="n">
        <v>1168.3055</v>
      </c>
      <c r="N87" s="5" t="n">
        <v>5.939</v>
      </c>
      <c r="O87" s="4" t="s">
        <v>64</v>
      </c>
      <c r="P87" s="2" t="n">
        <f aca="false">IF(K87=1,J87/G87^2,0)</f>
        <v>0.307957245679668</v>
      </c>
      <c r="Q87" s="2" t="n">
        <f aca="false">IF(K87=1,((E87-Result!$B$7*D87)/G87)^2,0)</f>
        <v>0.123445766639847</v>
      </c>
    </row>
    <row r="88" customFormat="false" ht="15" hidden="false" customHeight="false" outlineLevel="0" collapsed="false">
      <c r="A88" s="4" t="s">
        <v>39</v>
      </c>
      <c r="B88" s="4" t="s">
        <v>152</v>
      </c>
      <c r="C88" s="4" t="s">
        <v>63</v>
      </c>
      <c r="D88" s="5" t="n">
        <v>1164.6061</v>
      </c>
      <c r="E88" s="5" t="n">
        <v>1.66</v>
      </c>
      <c r="F88" s="5" t="n">
        <v>0.00508348094379956</v>
      </c>
      <c r="G88" s="5" t="n">
        <v>1.802</v>
      </c>
      <c r="H88" s="2" t="n">
        <f aca="false">D88*F88</f>
        <v>5.92025291638272</v>
      </c>
      <c r="I88" s="2" t="n">
        <f aca="false">IF(G88="","",D88*1000000/Inputs!$B$4^2*Inputs!$B$5/G88)</f>
        <v>3.28423478718282</v>
      </c>
      <c r="J88" s="2" t="n">
        <f aca="false">IF(C88="A",Inputs!$B$7,IF(C88="B",Inputs!$B$8,IF(C88="C",Inputs!$B$9,0)))</f>
        <v>1</v>
      </c>
      <c r="K88" s="2" t="n">
        <f aca="false">IF(AND(E88&lt;&gt;"",G88&lt;&gt;"",J88&gt;0),IF(I88&gt;=Inputs!$B$6,1,0),0)</f>
        <v>1</v>
      </c>
      <c r="L88" s="5" t="n">
        <v>0</v>
      </c>
      <c r="M88" s="5" t="n">
        <v>1164.8224</v>
      </c>
      <c r="N88" s="5" t="n">
        <v>5.921</v>
      </c>
      <c r="O88" s="4" t="s">
        <v>64</v>
      </c>
      <c r="P88" s="2" t="n">
        <f aca="false">IF(K88=1,J88/G88^2,0)</f>
        <v>0.307957245679668</v>
      </c>
      <c r="Q88" s="2" t="n">
        <f aca="false">IF(K88=1,((E88-Result!$B$7*D88)/G88)^2,0)</f>
        <v>5.49859833989645</v>
      </c>
    </row>
    <row r="89" customFormat="false" ht="15" hidden="false" customHeight="false" outlineLevel="0" collapsed="false">
      <c r="A89" s="4" t="s">
        <v>39</v>
      </c>
      <c r="B89" s="4" t="s">
        <v>153</v>
      </c>
      <c r="C89" s="4" t="s">
        <v>63</v>
      </c>
      <c r="D89" s="5" t="n">
        <v>1218.6719</v>
      </c>
      <c r="E89" s="5" t="n">
        <v>6.39</v>
      </c>
      <c r="F89" s="5" t="n">
        <v>0.00508363813312163</v>
      </c>
      <c r="G89" s="5" t="n">
        <v>1.802</v>
      </c>
      <c r="H89" s="2" t="n">
        <f aca="false">D89*F89</f>
        <v>6.19528694260379</v>
      </c>
      <c r="I89" s="2" t="n">
        <f aca="false">IF(G89="","",D89*1000000/Inputs!$B$4^2*Inputs!$B$5/G89)</f>
        <v>3.43670245943429</v>
      </c>
      <c r="J89" s="2" t="n">
        <f aca="false">IF(C89="A",Inputs!$B$7,IF(C89="B",Inputs!$B$8,IF(C89="C",Inputs!$B$9,0)))</f>
        <v>1</v>
      </c>
      <c r="K89" s="2" t="n">
        <f aca="false">IF(AND(E89&lt;&gt;"",G89&lt;&gt;"",J89&gt;0),IF(I89&gt;=Inputs!$B$6,1,0),0)</f>
        <v>1</v>
      </c>
      <c r="L89" s="5" t="n">
        <v>0</v>
      </c>
      <c r="M89" s="5" t="n">
        <v>1218.9001</v>
      </c>
      <c r="N89" s="5" t="n">
        <v>6.196</v>
      </c>
      <c r="O89" s="4" t="s">
        <v>64</v>
      </c>
      <c r="P89" s="2" t="n">
        <f aca="false">IF(K89=1,J89/G89^2,0)</f>
        <v>0.307957245679668</v>
      </c>
      <c r="Q89" s="2" t="n">
        <f aca="false">IF(K89=1,((E89-Result!$B$7*D89)/G89)^2,0)</f>
        <v>0.0164675882531582</v>
      </c>
    </row>
    <row r="90" customFormat="false" ht="15" hidden="false" customHeight="false" outlineLevel="0" collapsed="false">
      <c r="A90" s="4" t="s">
        <v>39</v>
      </c>
      <c r="B90" s="4" t="s">
        <v>154</v>
      </c>
      <c r="C90" s="4" t="s">
        <v>63</v>
      </c>
      <c r="D90" s="5" t="n">
        <v>1270.3065</v>
      </c>
      <c r="E90" s="5" t="n">
        <v>8.91</v>
      </c>
      <c r="F90" s="5" t="n">
        <v>0.00508344939220447</v>
      </c>
      <c r="G90" s="5" t="n">
        <v>1.802</v>
      </c>
      <c r="H90" s="2" t="n">
        <f aca="false">D90*F90</f>
        <v>6.45753880533839</v>
      </c>
      <c r="I90" s="2" t="n">
        <f aca="false">IF(G90="","",D90*1000000/Inputs!$B$4^2*Inputs!$B$5/G90)</f>
        <v>3.58231405252338</v>
      </c>
      <c r="J90" s="2" t="n">
        <f aca="false">IF(C90="A",Inputs!$B$7,IF(C90="B",Inputs!$B$8,IF(C90="C",Inputs!$B$9,0)))</f>
        <v>1</v>
      </c>
      <c r="K90" s="2" t="n">
        <f aca="false">IF(AND(E90&lt;&gt;"",G90&lt;&gt;"",J90&gt;0),IF(I90&gt;=Inputs!$B$6,1,0),0)</f>
        <v>1</v>
      </c>
      <c r="L90" s="5" t="n">
        <v>0</v>
      </c>
      <c r="M90" s="5" t="n">
        <v>1270.5432</v>
      </c>
      <c r="N90" s="5" t="n">
        <v>6.459</v>
      </c>
      <c r="O90" s="4" t="s">
        <v>64</v>
      </c>
      <c r="P90" s="2" t="n">
        <f aca="false">IF(K90=1,J90/G90^2,0)</f>
        <v>0.307957245679668</v>
      </c>
      <c r="Q90" s="2" t="n">
        <f aca="false">IF(K90=1,((E90-Result!$B$7*D90)/G90)^2,0)</f>
        <v>1.9098255242591</v>
      </c>
    </row>
    <row r="91" customFormat="false" ht="15" hidden="false" customHeight="false" outlineLevel="0" collapsed="false">
      <c r="A91" s="4" t="s">
        <v>39</v>
      </c>
      <c r="B91" s="4" t="s">
        <v>155</v>
      </c>
      <c r="C91" s="4" t="s">
        <v>63</v>
      </c>
      <c r="D91" s="5" t="n">
        <v>1240.005</v>
      </c>
      <c r="E91" s="5" t="n">
        <v>6.49</v>
      </c>
      <c r="F91" s="5" t="n">
        <v>0.00508347506330007</v>
      </c>
      <c r="G91" s="5" t="n">
        <v>1.802</v>
      </c>
      <c r="H91" s="2" t="n">
        <f aca="false">D91*F91</f>
        <v>6.3035344958674</v>
      </c>
      <c r="I91" s="2" t="n">
        <f aca="false">IF(G91="","",D91*1000000/Inputs!$B$4^2*Inputs!$B$5/G91)</f>
        <v>3.49686263645762</v>
      </c>
      <c r="J91" s="2" t="n">
        <f aca="false">IF(C91="A",Inputs!$B$7,IF(C91="B",Inputs!$B$8,IF(C91="C",Inputs!$B$9,0)))</f>
        <v>1</v>
      </c>
      <c r="K91" s="2" t="n">
        <f aca="false">IF(AND(E91&lt;&gt;"",G91&lt;&gt;"",J91&gt;0),IF(I91&gt;=Inputs!$B$6,1,0),0)</f>
        <v>1</v>
      </c>
      <c r="L91" s="5" t="n">
        <v>0</v>
      </c>
      <c r="M91" s="5" t="n">
        <v>1240.237</v>
      </c>
      <c r="N91" s="5" t="n">
        <v>6.305</v>
      </c>
      <c r="O91" s="4" t="s">
        <v>64</v>
      </c>
      <c r="P91" s="2" t="n">
        <f aca="false">IF(K91=1,J91/G91^2,0)</f>
        <v>0.307957245679668</v>
      </c>
      <c r="Q91" s="2" t="n">
        <f aca="false">IF(K91=1,((E91-Result!$B$7*D91)/G91)^2,0)</f>
        <v>0.0153739837144234</v>
      </c>
    </row>
    <row r="92" customFormat="false" ht="15" hidden="false" customHeight="false" outlineLevel="0" collapsed="false">
      <c r="A92" s="4" t="s">
        <v>39</v>
      </c>
      <c r="B92" s="4" t="s">
        <v>156</v>
      </c>
      <c r="C92" s="4" t="s">
        <v>63</v>
      </c>
      <c r="D92" s="5" t="n">
        <v>1298.0272</v>
      </c>
      <c r="E92" s="5" t="n">
        <v>4.7</v>
      </c>
      <c r="F92" s="5" t="n">
        <v>0.00508339223396514</v>
      </c>
      <c r="G92" s="5" t="n">
        <v>1.802</v>
      </c>
      <c r="H92" s="2" t="n">
        <f aca="false">D92*F92</f>
        <v>6.59838138795551</v>
      </c>
      <c r="I92" s="2" t="n">
        <f aca="false">IF(G92="","",D92*1000000/Inputs!$B$4^2*Inputs!$B$5/G92)</f>
        <v>3.66048751157108</v>
      </c>
      <c r="J92" s="2" t="n">
        <f aca="false">IF(C92="A",Inputs!$B$7,IF(C92="B",Inputs!$B$8,IF(C92="C",Inputs!$B$9,0)))</f>
        <v>1</v>
      </c>
      <c r="K92" s="2" t="n">
        <f aca="false">IF(AND(E92&lt;&gt;"",G92&lt;&gt;"",J92&gt;0),IF(I92&gt;=Inputs!$B$6,1,0),0)</f>
        <v>1</v>
      </c>
      <c r="L92" s="5" t="n">
        <v>0</v>
      </c>
      <c r="M92" s="5" t="n">
        <v>1298.2715</v>
      </c>
      <c r="N92" s="5" t="n">
        <v>6.6</v>
      </c>
      <c r="O92" s="4" t="s">
        <v>64</v>
      </c>
      <c r="P92" s="2" t="n">
        <f aca="false">IF(K92=1,J92/G92^2,0)</f>
        <v>0.307957245679668</v>
      </c>
      <c r="Q92" s="2" t="n">
        <f aca="false">IF(K92=1,((E92-Result!$B$7*D92)/G92)^2,0)</f>
        <v>1.06516976999713</v>
      </c>
    </row>
    <row r="93" customFormat="false" ht="15" hidden="false" customHeight="false" outlineLevel="0" collapsed="false">
      <c r="A93" s="4" t="s">
        <v>39</v>
      </c>
      <c r="B93" s="4" t="s">
        <v>157</v>
      </c>
      <c r="C93" s="4" t="s">
        <v>63</v>
      </c>
      <c r="D93" s="5" t="n">
        <v>1429.7108</v>
      </c>
      <c r="E93" s="5" t="n">
        <v>6.62</v>
      </c>
      <c r="F93" s="5" t="n">
        <v>0.00508338634666081</v>
      </c>
      <c r="G93" s="5" t="n">
        <v>1.802</v>
      </c>
      <c r="H93" s="2" t="n">
        <f aca="false">D93*F93</f>
        <v>7.2677723603935</v>
      </c>
      <c r="I93" s="2" t="n">
        <f aca="false">IF(G93="","",D93*1000000/Inputs!$B$4^2*Inputs!$B$5/G93)</f>
        <v>4.03184041794987</v>
      </c>
      <c r="J93" s="2" t="n">
        <f aca="false">IF(C93="A",Inputs!$B$7,IF(C93="B",Inputs!$B$8,IF(C93="C",Inputs!$B$9,0)))</f>
        <v>1</v>
      </c>
      <c r="K93" s="2" t="n">
        <f aca="false">IF(AND(E93&lt;&gt;"",G93&lt;&gt;"",J93&gt;0),IF(I93&gt;=Inputs!$B$6,1,0),0)</f>
        <v>1</v>
      </c>
      <c r="L93" s="5" t="n">
        <v>0</v>
      </c>
      <c r="M93" s="5" t="n">
        <v>1429.982</v>
      </c>
      <c r="N93" s="5" t="n">
        <v>7.268</v>
      </c>
      <c r="O93" s="4" t="s">
        <v>64</v>
      </c>
      <c r="P93" s="2" t="n">
        <f aca="false">IF(K93=1,J93/G93^2,0)</f>
        <v>0.307957245679668</v>
      </c>
      <c r="Q93" s="2" t="n">
        <f aca="false">IF(K93=1,((E93-Result!$B$7*D93)/G93)^2,0)</f>
        <v>0.112822815561071</v>
      </c>
    </row>
    <row r="94" customFormat="false" ht="15" hidden="false" customHeight="false" outlineLevel="0" collapsed="false">
      <c r="A94" s="4" t="s">
        <v>39</v>
      </c>
      <c r="B94" s="4" t="s">
        <v>158</v>
      </c>
      <c r="C94" s="4" t="s">
        <v>63</v>
      </c>
      <c r="D94" s="5" t="n">
        <v>3330.4732</v>
      </c>
      <c r="E94" s="5" t="n">
        <v>18.87</v>
      </c>
      <c r="F94" s="5" t="n">
        <v>0.00508369550047292</v>
      </c>
      <c r="G94" s="5" t="n">
        <v>1.802</v>
      </c>
      <c r="H94" s="2" t="n">
        <f aca="false">D94*F94</f>
        <v>16.9311116212856</v>
      </c>
      <c r="I94" s="2" t="n">
        <f aca="false">IF(G94="","",D94*1000000/Inputs!$B$4^2*Inputs!$B$5/G94)</f>
        <v>9.39206478587058</v>
      </c>
      <c r="J94" s="2" t="n">
        <f aca="false">IF(C94="A",Inputs!$B$7,IF(C94="B",Inputs!$B$8,IF(C94="C",Inputs!$B$9,0)))</f>
        <v>1</v>
      </c>
      <c r="K94" s="2" t="n">
        <f aca="false">IF(AND(E94&lt;&gt;"",G94&lt;&gt;"",J94&gt;0),IF(I94&gt;=Inputs!$B$6,1,0),0)</f>
        <v>1</v>
      </c>
      <c r="L94" s="5" t="n">
        <v>1</v>
      </c>
      <c r="M94" s="5" t="n">
        <v>3331.1423</v>
      </c>
      <c r="N94" s="5" t="n">
        <v>16.934</v>
      </c>
      <c r="O94" s="4" t="s">
        <v>64</v>
      </c>
      <c r="P94" s="2" t="n">
        <f aca="false">IF(K94=1,J94/G94^2,0)</f>
        <v>0.307957245679668</v>
      </c>
      <c r="Q94" s="2" t="n">
        <f aca="false">IF(K94=1,((E94-Result!$B$7*D94)/G94)^2,0)</f>
        <v>1.28022920424583</v>
      </c>
    </row>
    <row r="95" customFormat="false" ht="15" hidden="false" customHeight="false" outlineLevel="0" collapsed="false">
      <c r="A95" s="4" t="s">
        <v>39</v>
      </c>
      <c r="B95" s="4" t="s">
        <v>159</v>
      </c>
      <c r="C95" s="4" t="s">
        <v>63</v>
      </c>
      <c r="D95" s="5" t="n">
        <v>769.6579</v>
      </c>
      <c r="E95" s="5" t="n">
        <v>4.51</v>
      </c>
      <c r="F95" s="5" t="n">
        <v>0.00508309536611086</v>
      </c>
      <c r="G95" s="5" t="n">
        <v>1.802</v>
      </c>
      <c r="H95" s="2" t="n">
        <f aca="false">D95*F95</f>
        <v>3.91224450498062</v>
      </c>
      <c r="I95" s="2" t="n">
        <f aca="false">IF(G95="","",D95*1000000/Inputs!$B$4^2*Inputs!$B$5/G95)</f>
        <v>2.17046540406243</v>
      </c>
      <c r="J95" s="2" t="n">
        <f aca="false">IF(C95="A",Inputs!$B$7,IF(C95="B",Inputs!$B$8,IF(C95="C",Inputs!$B$9,0)))</f>
        <v>1</v>
      </c>
      <c r="K95" s="2" t="n">
        <f aca="false">IF(AND(E95&lt;&gt;"",G95&lt;&gt;"",J95&gt;0),IF(I95&gt;=Inputs!$B$6,1,0),0)</f>
        <v>1</v>
      </c>
      <c r="L95" s="5" t="n">
        <v>0</v>
      </c>
      <c r="M95" s="5" t="n">
        <v>769.7981</v>
      </c>
      <c r="N95" s="5" t="n">
        <v>3.913</v>
      </c>
      <c r="O95" s="4" t="s">
        <v>64</v>
      </c>
      <c r="P95" s="2" t="n">
        <f aca="false">IF(K95=1,J95/G95^2,0)</f>
        <v>0.307957245679668</v>
      </c>
      <c r="Q95" s="2" t="n">
        <f aca="false">IF(K95=1,((E95-Result!$B$7*D95)/G95)^2,0)</f>
        <v>0.118534926110083</v>
      </c>
    </row>
    <row r="96" customFormat="false" ht="15" hidden="false" customHeight="false" outlineLevel="0" collapsed="false">
      <c r="A96" s="4" t="s">
        <v>39</v>
      </c>
      <c r="B96" s="4" t="s">
        <v>160</v>
      </c>
      <c r="C96" s="4" t="s">
        <v>63</v>
      </c>
      <c r="D96" s="5" t="n">
        <v>751.6806</v>
      </c>
      <c r="E96" s="5" t="n">
        <v>4.85</v>
      </c>
      <c r="F96" s="5" t="n">
        <v>0.0050830894564301</v>
      </c>
      <c r="G96" s="5" t="n">
        <v>1.802</v>
      </c>
      <c r="H96" s="2" t="n">
        <f aca="false">D96*F96</f>
        <v>3.82085973246305</v>
      </c>
      <c r="I96" s="2" t="n">
        <f aca="false">IF(G96="","",D96*1000000/Inputs!$B$4^2*Inputs!$B$5/G96)</f>
        <v>2.11976871439232</v>
      </c>
      <c r="J96" s="2" t="n">
        <f aca="false">IF(C96="A",Inputs!$B$7,IF(C96="B",Inputs!$B$8,IF(C96="C",Inputs!$B$9,0)))</f>
        <v>1</v>
      </c>
      <c r="K96" s="2" t="n">
        <f aca="false">IF(AND(E96&lt;&gt;"",G96&lt;&gt;"",J96&gt;0),IF(I96&gt;=Inputs!$B$6,1,0),0)</f>
        <v>1</v>
      </c>
      <c r="L96" s="5" t="n">
        <v>0</v>
      </c>
      <c r="M96" s="5" t="n">
        <v>751.8184</v>
      </c>
      <c r="N96" s="5" t="n">
        <v>3.821</v>
      </c>
      <c r="O96" s="4" t="s">
        <v>64</v>
      </c>
      <c r="P96" s="2" t="n">
        <f aca="false">IF(K96=1,J96/G96^2,0)</f>
        <v>0.307957245679668</v>
      </c>
      <c r="Q96" s="2" t="n">
        <f aca="false">IF(K96=1,((E96-Result!$B$7*D96)/G96)^2,0)</f>
        <v>0.340338214186953</v>
      </c>
    </row>
    <row r="97" customFormat="false" ht="15" hidden="false" customHeight="false" outlineLevel="0" collapsed="false">
      <c r="A97" s="4" t="s">
        <v>39</v>
      </c>
      <c r="B97" s="4" t="s">
        <v>161</v>
      </c>
      <c r="C97" s="4" t="s">
        <v>63</v>
      </c>
      <c r="D97" s="5" t="n">
        <v>636.8052</v>
      </c>
      <c r="E97" s="5" t="n">
        <v>5.77</v>
      </c>
      <c r="F97" s="5" t="n">
        <v>0.0050831586471883</v>
      </c>
      <c r="G97" s="5" t="n">
        <v>1.802</v>
      </c>
      <c r="H97" s="2" t="n">
        <f aca="false">D97*F97</f>
        <v>3.23698185895447</v>
      </c>
      <c r="I97" s="2" t="n">
        <f aca="false">IF(G97="","",D97*1000000/Inputs!$B$4^2*Inputs!$B$5/G97)</f>
        <v>1.79581558992256</v>
      </c>
      <c r="J97" s="2" t="n">
        <f aca="false">IF(C97="A",Inputs!$B$7,IF(C97="B",Inputs!$B$8,IF(C97="C",Inputs!$B$9,0)))</f>
        <v>1</v>
      </c>
      <c r="K97" s="2" t="n">
        <f aca="false">IF(AND(E97&lt;&gt;"",G97&lt;&gt;"",J97&gt;0),IF(I97&gt;=Inputs!$B$6,1,0),0)</f>
        <v>0</v>
      </c>
      <c r="L97" s="5" t="n">
        <v>0</v>
      </c>
      <c r="M97" s="5" t="n">
        <v>636.9211</v>
      </c>
      <c r="N97" s="5" t="n">
        <v>3.238</v>
      </c>
      <c r="O97" s="4" t="s">
        <v>64</v>
      </c>
      <c r="P97" s="2" t="n">
        <f aca="false">IF(K97=1,J97/G97^2,0)</f>
        <v>0</v>
      </c>
      <c r="Q97" s="2" t="n">
        <f aca="false">IF(K97=1,((E97-Result!$B$7*D97)/G97)^2,0)</f>
        <v>0</v>
      </c>
    </row>
    <row r="98" customFormat="false" ht="15" hidden="false" customHeight="false" outlineLevel="0" collapsed="false">
      <c r="A98" s="4" t="s">
        <v>39</v>
      </c>
      <c r="B98" s="4" t="s">
        <v>162</v>
      </c>
      <c r="C98" s="4" t="s">
        <v>63</v>
      </c>
      <c r="D98" s="5" t="n">
        <v>648.2953</v>
      </c>
      <c r="E98" s="5" t="n">
        <v>4.39</v>
      </c>
      <c r="F98" s="5" t="n">
        <v>0.00508315274222643</v>
      </c>
      <c r="G98" s="5" t="n">
        <v>1.802</v>
      </c>
      <c r="H98" s="2" t="n">
        <f aca="false">D98*F98</f>
        <v>3.29538403196751</v>
      </c>
      <c r="I98" s="2" t="n">
        <f aca="false">IF(G98="","",D98*1000000/Inputs!$B$4^2*Inputs!$B$5/G98)</f>
        <v>1.82821812166974</v>
      </c>
      <c r="J98" s="2" t="n">
        <f aca="false">IF(C98="A",Inputs!$B$7,IF(C98="B",Inputs!$B$8,IF(C98="C",Inputs!$B$9,0)))</f>
        <v>1</v>
      </c>
      <c r="K98" s="2" t="n">
        <f aca="false">IF(AND(E98&lt;&gt;"",G98&lt;&gt;"",J98&gt;0),IF(I98&gt;=Inputs!$B$6,1,0),0)</f>
        <v>0</v>
      </c>
      <c r="L98" s="5" t="n">
        <v>0</v>
      </c>
      <c r="M98" s="5" t="n">
        <v>648.4141</v>
      </c>
      <c r="N98" s="5" t="n">
        <v>3.296</v>
      </c>
      <c r="O98" s="4" t="s">
        <v>64</v>
      </c>
      <c r="P98" s="2" t="n">
        <f aca="false">IF(K98=1,J98/G98^2,0)</f>
        <v>0</v>
      </c>
      <c r="Q98" s="2" t="n">
        <f aca="false">IF(K98=1,((E98-Result!$B$7*D98)/G98)^2,0)</f>
        <v>0</v>
      </c>
    </row>
    <row r="99" customFormat="false" ht="15" hidden="false" customHeight="false" outlineLevel="0" collapsed="false">
      <c r="A99" s="4" t="s">
        <v>39</v>
      </c>
      <c r="B99" s="4" t="s">
        <v>163</v>
      </c>
      <c r="C99" s="4" t="s">
        <v>63</v>
      </c>
      <c r="D99" s="5" t="n">
        <v>957.8212</v>
      </c>
      <c r="E99" s="5" t="n">
        <v>5.9</v>
      </c>
      <c r="F99" s="5" t="n">
        <v>0.00508310642754209</v>
      </c>
      <c r="G99" s="5" t="n">
        <v>1.802</v>
      </c>
      <c r="H99" s="2" t="n">
        <f aca="false">D99*F99</f>
        <v>4.86870709815608</v>
      </c>
      <c r="I99" s="2" t="n">
        <f aca="false">IF(G99="","",D99*1000000/Inputs!$B$4^2*Inputs!$B$5/G99)</f>
        <v>2.70109327517792</v>
      </c>
      <c r="J99" s="2" t="n">
        <f aca="false">IF(C99="A",Inputs!$B$7,IF(C99="B",Inputs!$B$8,IF(C99="C",Inputs!$B$9,0)))</f>
        <v>1</v>
      </c>
      <c r="K99" s="2" t="n">
        <f aca="false">IF(AND(E99&lt;&gt;"",G99&lt;&gt;"",J99&gt;0),IF(I99&gt;=Inputs!$B$6,1,0),0)</f>
        <v>1</v>
      </c>
      <c r="L99" s="5" t="n">
        <v>0</v>
      </c>
      <c r="M99" s="5" t="n">
        <v>957.9985</v>
      </c>
      <c r="N99" s="5" t="n">
        <v>4.87</v>
      </c>
      <c r="O99" s="4" t="s">
        <v>64</v>
      </c>
      <c r="P99" s="2" t="n">
        <f aca="false">IF(K99=1,J99/G99^2,0)</f>
        <v>0.307957245679668</v>
      </c>
      <c r="Q99" s="2" t="n">
        <f aca="false">IF(K99=1,((E99-Result!$B$7*D99)/G99)^2,0)</f>
        <v>0.345691147552208</v>
      </c>
    </row>
    <row r="100" customFormat="false" ht="15" hidden="false" customHeight="false" outlineLevel="0" collapsed="false">
      <c r="A100" s="4" t="s">
        <v>39</v>
      </c>
      <c r="B100" s="4" t="s">
        <v>164</v>
      </c>
      <c r="C100" s="4" t="s">
        <v>63</v>
      </c>
      <c r="D100" s="5" t="n">
        <v>1080.8301</v>
      </c>
      <c r="E100" s="5" t="n">
        <v>5.14</v>
      </c>
      <c r="F100" s="5" t="n">
        <v>0.00508304310482288</v>
      </c>
      <c r="G100" s="5" t="n">
        <v>1.802</v>
      </c>
      <c r="H100" s="2" t="n">
        <f aca="false">D100*F100</f>
        <v>5.49390598729003</v>
      </c>
      <c r="I100" s="2" t="n">
        <f aca="false">IF(G100="","",D100*1000000/Inputs!$B$4^2*Inputs!$B$5/G100)</f>
        <v>3.04798318801033</v>
      </c>
      <c r="J100" s="2" t="n">
        <f aca="false">IF(C100="A",Inputs!$B$7,IF(C100="B",Inputs!$B$8,IF(C100="C",Inputs!$B$9,0)))</f>
        <v>1</v>
      </c>
      <c r="K100" s="2" t="n">
        <f aca="false">IF(AND(E100&lt;&gt;"",G100&lt;&gt;"",J100&gt;0),IF(I100&gt;=Inputs!$B$6,1,0),0)</f>
        <v>1</v>
      </c>
      <c r="L100" s="5" t="n">
        <v>0</v>
      </c>
      <c r="M100" s="5" t="n">
        <v>1081.0293</v>
      </c>
      <c r="N100" s="5" t="n">
        <v>5.494</v>
      </c>
      <c r="O100" s="4" t="s">
        <v>64</v>
      </c>
      <c r="P100" s="2" t="n">
        <f aca="false">IF(K100=1,J100/G100^2,0)</f>
        <v>0.307957245679668</v>
      </c>
      <c r="Q100" s="2" t="n">
        <f aca="false">IF(K100=1,((E100-Result!$B$7*D100)/G100)^2,0)</f>
        <v>0.0319600825686759</v>
      </c>
    </row>
    <row r="101" customFormat="false" ht="15" hidden="false" customHeight="false" outlineLevel="0" collapsed="false">
      <c r="A101" s="4" t="s">
        <v>39</v>
      </c>
      <c r="B101" s="4" t="s">
        <v>165</v>
      </c>
      <c r="C101" s="4" t="s">
        <v>63</v>
      </c>
      <c r="D101" s="5" t="n">
        <v>488.4729</v>
      </c>
      <c r="E101" s="5" t="n">
        <v>3.58</v>
      </c>
      <c r="F101" s="5" t="n">
        <v>0.00508327185584922</v>
      </c>
      <c r="G101" s="5" t="n">
        <v>1.802</v>
      </c>
      <c r="H101" s="2" t="n">
        <f aca="false">D101*F101</f>
        <v>2.48304054491505</v>
      </c>
      <c r="I101" s="2" t="n">
        <f aca="false">IF(G101="","",D101*1000000/Inputs!$B$4^2*Inputs!$B$5/G101)</f>
        <v>1.37751269787791</v>
      </c>
      <c r="J101" s="2" t="n">
        <f aca="false">IF(C101="A",Inputs!$B$7,IF(C101="B",Inputs!$B$8,IF(C101="C",Inputs!$B$9,0)))</f>
        <v>1</v>
      </c>
      <c r="K101" s="2" t="n">
        <f aca="false">IF(AND(E101&lt;&gt;"",G101&lt;&gt;"",J101&gt;0),IF(I101&gt;=Inputs!$B$6,1,0),0)</f>
        <v>0</v>
      </c>
      <c r="L101" s="5" t="n">
        <v>0</v>
      </c>
      <c r="M101" s="5" t="n">
        <v>488.5615</v>
      </c>
      <c r="N101" s="5" t="n">
        <v>2.483</v>
      </c>
      <c r="O101" s="4" t="s">
        <v>64</v>
      </c>
      <c r="P101" s="2" t="n">
        <f aca="false">IF(K101=1,J101/G101^2,0)</f>
        <v>0</v>
      </c>
      <c r="Q101" s="2" t="n">
        <f aca="false">IF(K101=1,((E101-Result!$B$7*D101)/G101)^2,0)</f>
        <v>0</v>
      </c>
    </row>
    <row r="102" customFormat="false" ht="15" hidden="false" customHeight="false" outlineLevel="0" collapsed="false">
      <c r="A102" s="4" t="s">
        <v>39</v>
      </c>
      <c r="B102" s="4" t="s">
        <v>166</v>
      </c>
      <c r="C102" s="4" t="s">
        <v>63</v>
      </c>
      <c r="D102" s="5" t="n">
        <v>569.3442</v>
      </c>
      <c r="E102" s="5" t="n">
        <v>5.19</v>
      </c>
      <c r="F102" s="5" t="n">
        <v>0.00508326595939808</v>
      </c>
      <c r="G102" s="5" t="n">
        <v>1.802</v>
      </c>
      <c r="H102" s="2" t="n">
        <f aca="false">D102*F102</f>
        <v>2.89412799104073</v>
      </c>
      <c r="I102" s="2" t="n">
        <f aca="false">IF(G102="","",D102*1000000/Inputs!$B$4^2*Inputs!$B$5/G102)</f>
        <v>1.6055729293542</v>
      </c>
      <c r="J102" s="2" t="n">
        <f aca="false">IF(C102="A",Inputs!$B$7,IF(C102="B",Inputs!$B$8,IF(C102="C",Inputs!$B$9,0)))</f>
        <v>1</v>
      </c>
      <c r="K102" s="2" t="n">
        <f aca="false">IF(AND(E102&lt;&gt;"",G102&lt;&gt;"",J102&gt;0),IF(I102&gt;=Inputs!$B$6,1,0),0)</f>
        <v>0</v>
      </c>
      <c r="L102" s="5" t="n">
        <v>0</v>
      </c>
      <c r="M102" s="5" t="n">
        <v>569.4485</v>
      </c>
      <c r="N102" s="5" t="n">
        <v>2.894</v>
      </c>
      <c r="O102" s="4" t="s">
        <v>64</v>
      </c>
      <c r="P102" s="2" t="n">
        <f aca="false">IF(K102=1,J102/G102^2,0)</f>
        <v>0</v>
      </c>
      <c r="Q102" s="2" t="n">
        <f aca="false">IF(K102=1,((E102-Result!$B$7*D102)/G102)^2,0)</f>
        <v>0</v>
      </c>
    </row>
    <row r="103" customFormat="false" ht="15" hidden="false" customHeight="false" outlineLevel="0" collapsed="false">
      <c r="A103" s="4" t="s">
        <v>39</v>
      </c>
      <c r="B103" s="4" t="s">
        <v>167</v>
      </c>
      <c r="C103" s="4" t="s">
        <v>63</v>
      </c>
      <c r="D103" s="5" t="n">
        <v>1279.0664</v>
      </c>
      <c r="E103" s="5" t="n">
        <v>9.28</v>
      </c>
      <c r="F103" s="5" t="n">
        <v>0.0050831645655045</v>
      </c>
      <c r="G103" s="5" t="n">
        <v>1.802</v>
      </c>
      <c r="H103" s="2" t="n">
        <f aca="false">D103*F103</f>
        <v>6.50170500140741</v>
      </c>
      <c r="I103" s="2" t="n">
        <f aca="false">IF(G103="","",D103*1000000/Inputs!$B$4^2*Inputs!$B$5/G103)</f>
        <v>3.60701731340467</v>
      </c>
      <c r="J103" s="2" t="n">
        <f aca="false">IF(C103="A",Inputs!$B$7,IF(C103="B",Inputs!$B$8,IF(C103="C",Inputs!$B$9,0)))</f>
        <v>1</v>
      </c>
      <c r="K103" s="2" t="n">
        <f aca="false">IF(AND(E103&lt;&gt;"",G103&lt;&gt;"",J103&gt;0),IF(I103&gt;=Inputs!$B$6,1,0),0)</f>
        <v>1</v>
      </c>
      <c r="L103" s="5" t="n">
        <v>0</v>
      </c>
      <c r="M103" s="5" t="n">
        <v>1279.3039</v>
      </c>
      <c r="N103" s="5" t="n">
        <v>6.503</v>
      </c>
      <c r="O103" s="4" t="s">
        <v>64</v>
      </c>
      <c r="P103" s="2" t="n">
        <f aca="false">IF(K103=1,J103/G103^2,0)</f>
        <v>0.307957245679668</v>
      </c>
      <c r="Q103" s="2" t="n">
        <f aca="false">IF(K103=1,((E103-Result!$B$7*D103)/G103)^2,0)</f>
        <v>2.44210902712879</v>
      </c>
    </row>
    <row r="104" customFormat="false" ht="15" hidden="false" customHeight="false" outlineLevel="0" collapsed="false">
      <c r="A104" s="4" t="s">
        <v>39</v>
      </c>
      <c r="B104" s="4" t="s">
        <v>168</v>
      </c>
      <c r="C104" s="4" t="s">
        <v>63</v>
      </c>
      <c r="D104" s="5" t="n">
        <v>1556.4254</v>
      </c>
      <c r="E104" s="5" t="n">
        <v>9.17</v>
      </c>
      <c r="F104" s="5" t="n">
        <v>0.00508311825774215</v>
      </c>
      <c r="G104" s="5" t="n">
        <v>1.802</v>
      </c>
      <c r="H104" s="2" t="n">
        <f aca="false">D104*F104</f>
        <v>7.91149436755362</v>
      </c>
      <c r="I104" s="2" t="n">
        <f aca="false">IF(G104="","",D104*1000000/Inputs!$B$4^2*Inputs!$B$5/G104)</f>
        <v>4.38918054983134</v>
      </c>
      <c r="J104" s="2" t="n">
        <f aca="false">IF(C104="A",Inputs!$B$7,IF(C104="B",Inputs!$B$8,IF(C104="C",Inputs!$B$9,0)))</f>
        <v>1</v>
      </c>
      <c r="K104" s="2" t="n">
        <f aca="false">IF(AND(E104&lt;&gt;"",G104&lt;&gt;"",J104&gt;0),IF(I104&gt;=Inputs!$B$6,1,0),0)</f>
        <v>1</v>
      </c>
      <c r="L104" s="5" t="n">
        <v>1</v>
      </c>
      <c r="M104" s="5" t="n">
        <v>1556.7176</v>
      </c>
      <c r="N104" s="5" t="n">
        <v>7.913</v>
      </c>
      <c r="O104" s="4" t="s">
        <v>64</v>
      </c>
      <c r="P104" s="2" t="n">
        <f aca="false">IF(K104=1,J104/G104^2,0)</f>
        <v>0.307957245679668</v>
      </c>
      <c r="Q104" s="2" t="n">
        <f aca="false">IF(K104=1,((E104-Result!$B$7*D104)/G104)^2,0)</f>
        <v>0.523937749221603</v>
      </c>
    </row>
    <row r="105" customFormat="false" ht="15" hidden="false" customHeight="false" outlineLevel="0" collapsed="false">
      <c r="A105" s="4" t="s">
        <v>43</v>
      </c>
      <c r="B105" s="4" t="s">
        <v>97</v>
      </c>
      <c r="C105" s="4"/>
      <c r="D105" s="5" t="n">
        <v>135.1135</v>
      </c>
      <c r="E105" s="5"/>
      <c r="F105" s="5" t="n">
        <v>0.00506327602112834</v>
      </c>
      <c r="G105" s="5" t="n">
        <v>1.4901</v>
      </c>
      <c r="H105" s="2" t="n">
        <f aca="false">D105*F105</f>
        <v>0.684116944680724</v>
      </c>
      <c r="I105" s="2" t="n">
        <f aca="false">IF(G105="","",D105*1000000/Inputs!$B$4^2*Inputs!$B$5/G105)</f>
        <v>0.460779609593755</v>
      </c>
      <c r="J105" s="2" t="n">
        <f aca="false">IF(C105="A",Inputs!$B$7,IF(C105="B",Inputs!$B$8,IF(C105="C",Inputs!$B$9,0)))</f>
        <v>0</v>
      </c>
      <c r="K105" s="2" t="n">
        <f aca="false">IF(AND(E105&lt;&gt;"",G105&lt;&gt;"",J105&gt;0),IF(I105&gt;=Inputs!$B$6,1,0),0)</f>
        <v>0</v>
      </c>
      <c r="L105" s="5" t="n">
        <v>0</v>
      </c>
      <c r="M105" s="5" t="n">
        <v>135.1135</v>
      </c>
      <c r="N105" s="5" t="n">
        <v>0.69</v>
      </c>
      <c r="O105" s="4" t="s">
        <v>64</v>
      </c>
      <c r="P105" s="2" t="n">
        <f aca="false">IF(K105=1,J105/G105^2,0)</f>
        <v>0</v>
      </c>
      <c r="Q105" s="2" t="n">
        <f aca="false">IF(K105=1,((E105-Result!$B$7*D105)/G105)^2,0)</f>
        <v>0</v>
      </c>
    </row>
    <row r="106" customFormat="false" ht="15" hidden="false" customHeight="false" outlineLevel="0" collapsed="false">
      <c r="A106" s="4" t="s">
        <v>43</v>
      </c>
      <c r="B106" s="4" t="s">
        <v>169</v>
      </c>
      <c r="C106" s="4" t="s">
        <v>66</v>
      </c>
      <c r="D106" s="5" t="n">
        <v>300.7799</v>
      </c>
      <c r="E106" s="5" t="n">
        <v>3.25</v>
      </c>
      <c r="F106" s="5" t="n">
        <v>0.0050633325728245</v>
      </c>
      <c r="G106" s="5" t="n">
        <v>1.4901</v>
      </c>
      <c r="H106" s="2" t="n">
        <f aca="false">D106*F106</f>
        <v>1.52294866492089</v>
      </c>
      <c r="I106" s="2" t="n">
        <f aca="false">IF(G106="","",D106*1000000/Inputs!$B$4^2*Inputs!$B$5/G106)</f>
        <v>1.0257542354809</v>
      </c>
      <c r="J106" s="2" t="n">
        <f aca="false">IF(C106="A",Inputs!$B$7,IF(C106="B",Inputs!$B$8,IF(C106="C",Inputs!$B$9,0)))</f>
        <v>0.5</v>
      </c>
      <c r="K106" s="2" t="n">
        <f aca="false">IF(AND(E106&lt;&gt;"",G106&lt;&gt;"",J106&gt;0),IF(I106&gt;=Inputs!$B$6,1,0),0)</f>
        <v>0</v>
      </c>
      <c r="L106" s="5" t="n">
        <v>0</v>
      </c>
      <c r="M106" s="5" t="n">
        <v>299.7231</v>
      </c>
      <c r="N106" s="5" t="n">
        <v>1.5</v>
      </c>
      <c r="O106" s="4" t="s">
        <v>64</v>
      </c>
      <c r="P106" s="2" t="n">
        <f aca="false">IF(K106=1,J106/G106^2,0)</f>
        <v>0</v>
      </c>
      <c r="Q106" s="2" t="n">
        <f aca="false">IF(K106=1,((E106-Result!$B$7*D106)/G106)^2,0)</f>
        <v>0</v>
      </c>
    </row>
    <row r="107" customFormat="false" ht="15" hidden="false" customHeight="false" outlineLevel="0" collapsed="false">
      <c r="A107" s="4" t="s">
        <v>43</v>
      </c>
      <c r="B107" s="4" t="s">
        <v>170</v>
      </c>
      <c r="C107" s="4" t="s">
        <v>66</v>
      </c>
      <c r="D107" s="5" t="n">
        <v>323.41</v>
      </c>
      <c r="E107" s="5" t="n">
        <v>0.75</v>
      </c>
      <c r="F107" s="5" t="n">
        <v>0.00506335991689661</v>
      </c>
      <c r="G107" s="5" t="n">
        <v>1.4901</v>
      </c>
      <c r="H107" s="2" t="n">
        <f aca="false">D107*F107</f>
        <v>1.63754123072353</v>
      </c>
      <c r="I107" s="2" t="n">
        <f aca="false">IF(G107="","",D107*1000000/Inputs!$B$4^2*Inputs!$B$5/G107)</f>
        <v>1.10293000728067</v>
      </c>
      <c r="J107" s="2" t="n">
        <f aca="false">IF(C107="A",Inputs!$B$7,IF(C107="B",Inputs!$B$8,IF(C107="C",Inputs!$B$9,0)))</f>
        <v>0.5</v>
      </c>
      <c r="K107" s="2" t="n">
        <f aca="false">IF(AND(E107&lt;&gt;"",G107&lt;&gt;"",J107&gt;0),IF(I107&gt;=Inputs!$B$6,1,0),0)</f>
        <v>0</v>
      </c>
      <c r="L107" s="5" t="n">
        <v>0</v>
      </c>
      <c r="M107" s="5" t="n">
        <v>322.3379</v>
      </c>
      <c r="N107" s="5" t="n">
        <v>1.6</v>
      </c>
      <c r="O107" s="4" t="s">
        <v>64</v>
      </c>
      <c r="P107" s="2" t="n">
        <f aca="false">IF(K107=1,J107/G107^2,0)</f>
        <v>0</v>
      </c>
      <c r="Q107" s="2" t="n">
        <f aca="false">IF(K107=1,((E107-Result!$B$7*D107)/G107)^2,0)</f>
        <v>0</v>
      </c>
    </row>
    <row r="108" customFormat="false" ht="15" hidden="false" customHeight="false" outlineLevel="0" collapsed="false">
      <c r="A108" s="4" t="s">
        <v>43</v>
      </c>
      <c r="B108" s="4" t="s">
        <v>171</v>
      </c>
      <c r="C108" s="4" t="s">
        <v>66</v>
      </c>
      <c r="D108" s="5" t="n">
        <v>392.2996</v>
      </c>
      <c r="E108" s="5" t="n">
        <v>-1.5</v>
      </c>
      <c r="F108" s="5" t="n">
        <v>0.0050635210547542</v>
      </c>
      <c r="G108" s="5" t="n">
        <v>1.4901</v>
      </c>
      <c r="H108" s="2" t="n">
        <f aca="false">D108*F108</f>
        <v>1.98641728437165</v>
      </c>
      <c r="I108" s="2" t="n">
        <f aca="false">IF(G108="","",D108*1000000/Inputs!$B$4^2*Inputs!$B$5/G108)</f>
        <v>1.33786525056183</v>
      </c>
      <c r="J108" s="2" t="n">
        <f aca="false">IF(C108="A",Inputs!$B$7,IF(C108="B",Inputs!$B$8,IF(C108="C",Inputs!$B$9,0)))</f>
        <v>0.5</v>
      </c>
      <c r="K108" s="2" t="n">
        <f aca="false">IF(AND(E108&lt;&gt;"",G108&lt;&gt;"",J108&gt;0),IF(I108&gt;=Inputs!$B$6,1,0),0)</f>
        <v>0</v>
      </c>
      <c r="L108" s="5" t="n">
        <v>0</v>
      </c>
      <c r="M108" s="5" t="n">
        <v>390.9437</v>
      </c>
      <c r="N108" s="5" t="n">
        <v>1.96</v>
      </c>
      <c r="O108" s="4" t="s">
        <v>64</v>
      </c>
      <c r="P108" s="2" t="n">
        <f aca="false">IF(K108=1,J108/G108^2,0)</f>
        <v>0</v>
      </c>
      <c r="Q108" s="2" t="n">
        <f aca="false">IF(K108=1,((E108-Result!$B$7*D108)/G108)^2,0)</f>
        <v>0</v>
      </c>
    </row>
    <row r="109" customFormat="false" ht="15" hidden="false" customHeight="false" outlineLevel="0" collapsed="false">
      <c r="A109" s="4" t="s">
        <v>43</v>
      </c>
      <c r="B109" s="4" t="s">
        <v>172</v>
      </c>
      <c r="C109" s="4" t="s">
        <v>66</v>
      </c>
      <c r="D109" s="5" t="n">
        <v>990.1015</v>
      </c>
      <c r="E109" s="5" t="n">
        <v>1.25</v>
      </c>
      <c r="F109" s="5" t="n">
        <v>0.00506346737043847</v>
      </c>
      <c r="G109" s="5" t="n">
        <v>1.4901</v>
      </c>
      <c r="H109" s="2" t="n">
        <f aca="false">D109*F109</f>
        <v>5.01334663867218</v>
      </c>
      <c r="I109" s="2" t="n">
        <f aca="false">IF(G109="","",D109*1000000/Inputs!$B$4^2*Inputs!$B$5/G109)</f>
        <v>3.37655809840017</v>
      </c>
      <c r="J109" s="2" t="n">
        <f aca="false">IF(C109="A",Inputs!$B$7,IF(C109="B",Inputs!$B$8,IF(C109="C",Inputs!$B$9,0)))</f>
        <v>0.5</v>
      </c>
      <c r="K109" s="2" t="n">
        <f aca="false">IF(AND(E109&lt;&gt;"",G109&lt;&gt;"",J109&gt;0),IF(I109&gt;=Inputs!$B$6,1,0),0)</f>
        <v>1</v>
      </c>
      <c r="L109" s="5" t="n">
        <v>0</v>
      </c>
      <c r="M109" s="5" t="n">
        <v>986.6</v>
      </c>
      <c r="N109" s="5" t="n">
        <v>5</v>
      </c>
      <c r="O109" s="4" t="s">
        <v>64</v>
      </c>
      <c r="P109" s="2" t="n">
        <f aca="false">IF(K109=1,J109/G109^2,0)</f>
        <v>0.225184853232687</v>
      </c>
      <c r="Q109" s="2" t="n">
        <f aca="false">IF(K109=1,((E109-Result!$B$7*D109)/G109)^2,0)</f>
        <v>6.34562075711983</v>
      </c>
    </row>
    <row r="110" customFormat="false" ht="15" hidden="false" customHeight="false" outlineLevel="0" collapsed="false">
      <c r="A110" s="4" t="s">
        <v>43</v>
      </c>
      <c r="B110" s="4" t="s">
        <v>173</v>
      </c>
      <c r="C110" s="4" t="s">
        <v>66</v>
      </c>
      <c r="D110" s="5" t="n">
        <v>1284.5089</v>
      </c>
      <c r="E110" s="5" t="n">
        <v>6</v>
      </c>
      <c r="F110" s="5" t="n">
        <v>0.00506360067737846</v>
      </c>
      <c r="G110" s="5" t="n">
        <v>1.4901</v>
      </c>
      <c r="H110" s="2" t="n">
        <f aca="false">D110*F110</f>
        <v>6.50424013613866</v>
      </c>
      <c r="I110" s="2" t="n">
        <f aca="false">IF(G110="","",D110*1000000/Inputs!$B$4^2*Inputs!$B$5/G110)</f>
        <v>4.38058010089076</v>
      </c>
      <c r="J110" s="2" t="n">
        <f aca="false">IF(C110="A",Inputs!$B$7,IF(C110="B",Inputs!$B$8,IF(C110="C",Inputs!$B$9,0)))</f>
        <v>0.5</v>
      </c>
      <c r="K110" s="2" t="n">
        <f aca="false">IF(AND(E110&lt;&gt;"",G110&lt;&gt;"",J110&gt;0),IF(I110&gt;=Inputs!$B$6,1,0),0)</f>
        <v>1</v>
      </c>
      <c r="L110" s="5" t="n">
        <v>0</v>
      </c>
      <c r="M110" s="5" t="n">
        <v>1280.1288</v>
      </c>
      <c r="N110" s="5" t="n">
        <v>6.5</v>
      </c>
      <c r="O110" s="4" t="s">
        <v>64</v>
      </c>
      <c r="P110" s="2" t="n">
        <f aca="false">IF(K110=1,J110/G110^2,0)</f>
        <v>0.225184853232687</v>
      </c>
      <c r="Q110" s="2" t="n">
        <f aca="false">IF(K110=1,((E110-Result!$B$7*D110)/G110)^2,0)</f>
        <v>0.108785462440699</v>
      </c>
    </row>
    <row r="111" customFormat="false" ht="15" hidden="false" customHeight="false" outlineLevel="0" collapsed="false">
      <c r="A111" s="4" t="s">
        <v>43</v>
      </c>
      <c r="B111" s="4" t="s">
        <v>174</v>
      </c>
      <c r="C111" s="4" t="s">
        <v>66</v>
      </c>
      <c r="D111" s="5" t="n">
        <v>641.6454</v>
      </c>
      <c r="E111" s="5" t="n">
        <v>2</v>
      </c>
      <c r="F111" s="5" t="n">
        <v>0.00506345843199079</v>
      </c>
      <c r="G111" s="5" t="n">
        <v>1.4901</v>
      </c>
      <c r="H111" s="2" t="n">
        <f aca="false">D111*F111</f>
        <v>3.2489448109781</v>
      </c>
      <c r="I111" s="2" t="n">
        <f aca="false">IF(G111="","",D111*1000000/Inputs!$B$4^2*Inputs!$B$5/G111)</f>
        <v>2.18821299803224</v>
      </c>
      <c r="J111" s="2" t="n">
        <f aca="false">IF(C111="A",Inputs!$B$7,IF(C111="B",Inputs!$B$8,IF(C111="C",Inputs!$B$9,0)))</f>
        <v>0.5</v>
      </c>
      <c r="K111" s="2" t="n">
        <f aca="false">IF(AND(E111&lt;&gt;"",G111&lt;&gt;"",J111&gt;0),IF(I111&gt;=Inputs!$B$6,1,0),0)</f>
        <v>1</v>
      </c>
      <c r="L111" s="5" t="n">
        <v>0</v>
      </c>
      <c r="M111" s="5" t="n">
        <v>639.1542</v>
      </c>
      <c r="N111" s="5" t="n">
        <v>3.24</v>
      </c>
      <c r="O111" s="4" t="s">
        <v>64</v>
      </c>
      <c r="P111" s="2" t="n">
        <f aca="false">IF(K111=1,J111/G111^2,0)</f>
        <v>0.225184853232687</v>
      </c>
      <c r="Q111" s="2" t="n">
        <f aca="false">IF(K111=1,((E111-Result!$B$7*D111)/G111)^2,0)</f>
        <v>0.695461790586151</v>
      </c>
    </row>
    <row r="112" customFormat="false" ht="15" hidden="false" customHeight="false" outlineLevel="0" collapsed="false">
      <c r="A112" s="4" t="s">
        <v>43</v>
      </c>
      <c r="B112" s="4" t="s">
        <v>175</v>
      </c>
      <c r="C112" s="4" t="s">
        <v>66</v>
      </c>
      <c r="D112" s="5" t="n">
        <v>392.3642</v>
      </c>
      <c r="E112" s="5" t="n">
        <v>-0.5</v>
      </c>
      <c r="F112" s="5" t="n">
        <v>0.00506347652477367</v>
      </c>
      <c r="G112" s="5" t="n">
        <v>1.4901</v>
      </c>
      <c r="H112" s="2" t="n">
        <f aca="false">D112*F112</f>
        <v>1.9867269158616</v>
      </c>
      <c r="I112" s="2" t="n">
        <f aca="false">IF(G112="","",D112*1000000/Inputs!$B$4^2*Inputs!$B$5/G112)</f>
        <v>1.33808555691745</v>
      </c>
      <c r="J112" s="2" t="n">
        <f aca="false">IF(C112="A",Inputs!$B$7,IF(C112="B",Inputs!$B$8,IF(C112="C",Inputs!$B$9,0)))</f>
        <v>0.5</v>
      </c>
      <c r="K112" s="2" t="n">
        <f aca="false">IF(AND(E112&lt;&gt;"",G112&lt;&gt;"",J112&gt;0),IF(I112&gt;=Inputs!$B$6,1,0),0)</f>
        <v>0</v>
      </c>
      <c r="L112" s="5" t="n">
        <v>0</v>
      </c>
      <c r="M112" s="5" t="n">
        <v>391.0477</v>
      </c>
      <c r="N112" s="5" t="n">
        <v>2</v>
      </c>
      <c r="O112" s="4" t="s">
        <v>64</v>
      </c>
      <c r="P112" s="2" t="n">
        <f aca="false">IF(K112=1,J112/G112^2,0)</f>
        <v>0</v>
      </c>
      <c r="Q112" s="2" t="n">
        <f aca="false">IF(K112=1,((E112-Result!$B$7*D112)/G112)^2,0)</f>
        <v>0</v>
      </c>
    </row>
    <row r="113" customFormat="false" ht="15" hidden="false" customHeight="false" outlineLevel="0" collapsed="false">
      <c r="A113" s="4" t="s">
        <v>43</v>
      </c>
      <c r="B113" s="4" t="s">
        <v>176</v>
      </c>
      <c r="C113" s="4" t="s">
        <v>66</v>
      </c>
      <c r="D113" s="5" t="n">
        <v>251.5821</v>
      </c>
      <c r="E113" s="5" t="n">
        <v>0</v>
      </c>
      <c r="F113" s="5" t="n">
        <v>0.00506348602430823</v>
      </c>
      <c r="G113" s="5" t="n">
        <v>1.4901</v>
      </c>
      <c r="H113" s="2" t="n">
        <f aca="false">D113*F113</f>
        <v>1.27388244731611</v>
      </c>
      <c r="I113" s="2" t="n">
        <f aca="false">IF(G113="","",D113*1000000/Inputs!$B$4^2*Inputs!$B$5/G113)</f>
        <v>0.857974235133994</v>
      </c>
      <c r="J113" s="2" t="n">
        <f aca="false">IF(C113="A",Inputs!$B$7,IF(C113="B",Inputs!$B$8,IF(C113="C",Inputs!$B$9,0)))</f>
        <v>0.5</v>
      </c>
      <c r="K113" s="2" t="n">
        <f aca="false">IF(AND(E113&lt;&gt;"",G113&lt;&gt;"",J113&gt;0),IF(I113&gt;=Inputs!$B$6,1,0),0)</f>
        <v>0</v>
      </c>
      <c r="L113" s="5" t="n">
        <v>0</v>
      </c>
      <c r="M113" s="5" t="n">
        <v>250.7684</v>
      </c>
      <c r="N113" s="5" t="n">
        <v>1.28</v>
      </c>
      <c r="O113" s="4" t="s">
        <v>64</v>
      </c>
      <c r="P113" s="2" t="n">
        <f aca="false">IF(K113=1,J113/G113^2,0)</f>
        <v>0</v>
      </c>
      <c r="Q113" s="2" t="n">
        <f aca="false">IF(K113=1,((E113-Result!$B$7*D113)/G113)^2,0)</f>
        <v>0</v>
      </c>
    </row>
    <row r="114" customFormat="false" ht="15" hidden="false" customHeight="false" outlineLevel="0" collapsed="false">
      <c r="A114" s="4" t="s">
        <v>43</v>
      </c>
      <c r="B114" s="4" t="s">
        <v>177</v>
      </c>
      <c r="C114" s="4" t="s">
        <v>66</v>
      </c>
      <c r="D114" s="5" t="n">
        <v>387.4638</v>
      </c>
      <c r="E114" s="5" t="n">
        <v>1.5</v>
      </c>
      <c r="F114" s="5" t="n">
        <v>0.00506355254777054</v>
      </c>
      <c r="G114" s="5" t="n">
        <v>1.4901</v>
      </c>
      <c r="H114" s="2" t="n">
        <f aca="false">D114*F114</f>
        <v>1.96194331165885</v>
      </c>
      <c r="I114" s="2" t="n">
        <f aca="false">IF(G114="","",D114*1000000/Inputs!$B$4^2*Inputs!$B$5/G114)</f>
        <v>1.32137364878945</v>
      </c>
      <c r="J114" s="2" t="n">
        <f aca="false">IF(C114="A",Inputs!$B$7,IF(C114="B",Inputs!$B$8,IF(C114="C",Inputs!$B$9,0)))</f>
        <v>0.5</v>
      </c>
      <c r="K114" s="2" t="n">
        <f aca="false">IF(AND(E114&lt;&gt;"",G114&lt;&gt;"",J114&gt;0),IF(I114&gt;=Inputs!$B$6,1,0),0)</f>
        <v>0</v>
      </c>
      <c r="L114" s="5" t="n">
        <v>0</v>
      </c>
      <c r="M114" s="5" t="n">
        <v>386.0446</v>
      </c>
      <c r="N114" s="5" t="n">
        <v>1.96</v>
      </c>
      <c r="O114" s="4" t="s">
        <v>64</v>
      </c>
      <c r="P114" s="2" t="n">
        <f aca="false">IF(K114=1,J114/G114^2,0)</f>
        <v>0</v>
      </c>
      <c r="Q114" s="2" t="n">
        <f aca="false">IF(K114=1,((E114-Result!$B$7*D114)/G114)^2,0)</f>
        <v>0</v>
      </c>
    </row>
    <row r="115" customFormat="false" ht="15" hidden="false" customHeight="false" outlineLevel="0" collapsed="false">
      <c r="A115" s="4" t="s">
        <v>43</v>
      </c>
      <c r="B115" s="4" t="s">
        <v>178</v>
      </c>
      <c r="C115" s="4" t="s">
        <v>66</v>
      </c>
      <c r="D115" s="5" t="n">
        <v>234.8898</v>
      </c>
      <c r="E115" s="5" t="n">
        <v>1</v>
      </c>
      <c r="F115" s="5" t="n">
        <v>0.00506350553135492</v>
      </c>
      <c r="G115" s="5" t="n">
        <v>1.4901</v>
      </c>
      <c r="H115" s="2" t="n">
        <f aca="false">D115*F115</f>
        <v>1.18936580155885</v>
      </c>
      <c r="I115" s="2" t="n">
        <f aca="false">IF(G115="","",D115*1000000/Inputs!$B$4^2*Inputs!$B$5/G115)</f>
        <v>0.801048232349507</v>
      </c>
      <c r="J115" s="2" t="n">
        <f aca="false">IF(C115="A",Inputs!$B$7,IF(C115="B",Inputs!$B$8,IF(C115="C",Inputs!$B$9,0)))</f>
        <v>0.5</v>
      </c>
      <c r="K115" s="2" t="n">
        <f aca="false">IF(AND(E115&lt;&gt;"",G115&lt;&gt;"",J115&gt;0),IF(I115&gt;=Inputs!$B$6,1,0),0)</f>
        <v>0</v>
      </c>
      <c r="L115" s="5" t="n">
        <v>0</v>
      </c>
      <c r="M115" s="5" t="n">
        <v>234.1795</v>
      </c>
      <c r="N115" s="5" t="n">
        <v>1.19</v>
      </c>
      <c r="O115" s="4" t="s">
        <v>64</v>
      </c>
      <c r="P115" s="2" t="n">
        <f aca="false">IF(K115=1,J115/G115^2,0)</f>
        <v>0</v>
      </c>
      <c r="Q115" s="2" t="n">
        <f aca="false">IF(K115=1,((E115-Result!$B$7*D115)/G115)^2,0)</f>
        <v>0</v>
      </c>
    </row>
    <row r="116" customFormat="false" ht="15" hidden="false" customHeight="false" outlineLevel="0" collapsed="false">
      <c r="A116" s="4" t="s">
        <v>43</v>
      </c>
      <c r="B116" s="4" t="s">
        <v>179</v>
      </c>
      <c r="C116" s="4" t="s">
        <v>81</v>
      </c>
      <c r="D116" s="5" t="n">
        <v>179.9272</v>
      </c>
      <c r="E116" s="5" t="n">
        <v>4.25</v>
      </c>
      <c r="F116" s="5" t="n">
        <v>0.00506350181503766</v>
      </c>
      <c r="G116" s="5" t="n">
        <v>1.4901</v>
      </c>
      <c r="H116" s="2" t="n">
        <f aca="false">D116*F116</f>
        <v>0.911061703774645</v>
      </c>
      <c r="I116" s="2" t="n">
        <f aca="false">IF(G116="","",D116*1000000/Inputs!$B$4^2*Inputs!$B$5/G116)</f>
        <v>0.613608447500046</v>
      </c>
      <c r="J116" s="2" t="n">
        <f aca="false">IF(C116="A",Inputs!$B$7,IF(C116="B",Inputs!$B$8,IF(C116="C",Inputs!$B$9,0)))</f>
        <v>0.25</v>
      </c>
      <c r="K116" s="2" t="n">
        <f aca="false">IF(AND(E116&lt;&gt;"",G116&lt;&gt;"",J116&gt;0),IF(I116&gt;=Inputs!$B$6,1,0),0)</f>
        <v>0</v>
      </c>
      <c r="L116" s="5" t="n">
        <v>0</v>
      </c>
      <c r="M116" s="5" t="n">
        <v>179.9272</v>
      </c>
      <c r="N116" s="5" t="n">
        <v>0.9</v>
      </c>
      <c r="O116" s="4" t="s">
        <v>64</v>
      </c>
      <c r="P116" s="2" t="n">
        <f aca="false">IF(K116=1,J116/G116^2,0)</f>
        <v>0</v>
      </c>
      <c r="Q116" s="2" t="n">
        <f aca="false">IF(K116=1,((E116-Result!$B$7*D116)/G116)^2,0)</f>
        <v>0</v>
      </c>
    </row>
    <row r="117" customFormat="false" ht="15" hidden="false" customHeight="false" outlineLevel="0" collapsed="false">
      <c r="A117" s="4" t="s">
        <v>43</v>
      </c>
      <c r="B117" s="4" t="s">
        <v>180</v>
      </c>
      <c r="C117" s="4" t="s">
        <v>66</v>
      </c>
      <c r="D117" s="5" t="n">
        <v>1337.7913</v>
      </c>
      <c r="E117" s="5" t="n">
        <v>5.5</v>
      </c>
      <c r="F117" s="5" t="n">
        <v>0.00506361341811158</v>
      </c>
      <c r="G117" s="5" t="n">
        <v>1.4901</v>
      </c>
      <c r="H117" s="2" t="n">
        <f aca="false">D117*F117</f>
        <v>6.77405797731293</v>
      </c>
      <c r="I117" s="2" t="n">
        <f aca="false">IF(G117="","",D117*1000000/Inputs!$B$4^2*Inputs!$B$5/G117)</f>
        <v>4.5622898743051</v>
      </c>
      <c r="J117" s="2" t="n">
        <f aca="false">IF(C117="A",Inputs!$B$7,IF(C117="B",Inputs!$B$8,IF(C117="C",Inputs!$B$9,0)))</f>
        <v>0.5</v>
      </c>
      <c r="K117" s="2" t="n">
        <f aca="false">IF(AND(E117&lt;&gt;"",G117&lt;&gt;"",J117&gt;0),IF(I117&gt;=Inputs!$B$6,1,0),0)</f>
        <v>1</v>
      </c>
      <c r="L117" s="5" t="n">
        <v>0</v>
      </c>
      <c r="M117" s="5" t="n">
        <v>1332.9905</v>
      </c>
      <c r="N117" s="5" t="n">
        <v>6.77</v>
      </c>
      <c r="O117" s="4" t="s">
        <v>64</v>
      </c>
      <c r="P117" s="2" t="n">
        <f aca="false">IF(K117=1,J117/G117^2,0)</f>
        <v>0.225184853232687</v>
      </c>
      <c r="Q117" s="2" t="n">
        <f aca="false">IF(K117=1,((E117-Result!$B$7*D117)/G117)^2,0)</f>
        <v>0.715853400433929</v>
      </c>
    </row>
    <row r="118" customFormat="false" ht="15" hidden="false" customHeight="false" outlineLevel="0" collapsed="false">
      <c r="A118" s="4" t="s">
        <v>43</v>
      </c>
      <c r="B118" s="4" t="s">
        <v>181</v>
      </c>
      <c r="C118" s="4" t="s">
        <v>81</v>
      </c>
      <c r="D118" s="5" t="n">
        <v>1181.1254</v>
      </c>
      <c r="E118" s="5" t="n">
        <v>5.75</v>
      </c>
      <c r="F118" s="5" t="n">
        <v>0.00506361169340066</v>
      </c>
      <c r="G118" s="5" t="n">
        <v>1.4901</v>
      </c>
      <c r="H118" s="2" t="n">
        <f aca="false">D118*F118</f>
        <v>5.98076038681253</v>
      </c>
      <c r="I118" s="2" t="n">
        <f aca="false">IF(G118="","",D118*1000000/Inputs!$B$4^2*Inputs!$B$5/G118)</f>
        <v>4.02800978949748</v>
      </c>
      <c r="J118" s="2" t="n">
        <f aca="false">IF(C118="A",Inputs!$B$7,IF(C118="B",Inputs!$B$8,IF(C118="C",Inputs!$B$9,0)))</f>
        <v>0.25</v>
      </c>
      <c r="K118" s="2" t="n">
        <f aca="false">IF(AND(E118&lt;&gt;"",G118&lt;&gt;"",J118&gt;0),IF(I118&gt;=Inputs!$B$6,1,0),0)</f>
        <v>1</v>
      </c>
      <c r="L118" s="5" t="n">
        <v>0</v>
      </c>
      <c r="M118" s="5" t="n">
        <v>1181.1254</v>
      </c>
      <c r="N118" s="5" t="n">
        <v>6.01</v>
      </c>
      <c r="O118" s="4" t="s">
        <v>64</v>
      </c>
      <c r="P118" s="2" t="n">
        <f aca="false">IF(K118=1,J118/G118^2,0)</f>
        <v>0.112592426616343</v>
      </c>
      <c r="Q118" s="2" t="n">
        <f aca="false">IF(K118=1,((E118-Result!$B$7*D118)/G118)^2,0)</f>
        <v>0.0216019628241645</v>
      </c>
    </row>
    <row r="119" customFormat="false" ht="15" hidden="false" customHeight="false" outlineLevel="0" collapsed="false">
      <c r="A119" s="4" t="s">
        <v>43</v>
      </c>
      <c r="B119" s="4" t="s">
        <v>182</v>
      </c>
      <c r="C119" s="4" t="s">
        <v>66</v>
      </c>
      <c r="D119" s="5" t="n">
        <v>340.0615</v>
      </c>
      <c r="E119" s="5" t="n">
        <v>2.25</v>
      </c>
      <c r="F119" s="5" t="n">
        <v>0.00506352859612132</v>
      </c>
      <c r="G119" s="5" t="n">
        <v>1.4901</v>
      </c>
      <c r="H119" s="2" t="n">
        <f aca="false">D119*F119</f>
        <v>1.72191112968991</v>
      </c>
      <c r="I119" s="2" t="n">
        <f aca="false">IF(G119="","",D119*1000000/Inputs!$B$4^2*Inputs!$B$5/G119)</f>
        <v>1.15971686920897</v>
      </c>
      <c r="J119" s="2" t="n">
        <f aca="false">IF(C119="A",Inputs!$B$7,IF(C119="B",Inputs!$B$8,IF(C119="C",Inputs!$B$9,0)))</f>
        <v>0.5</v>
      </c>
      <c r="K119" s="2" t="n">
        <f aca="false">IF(AND(E119&lt;&gt;"",G119&lt;&gt;"",J119&gt;0),IF(I119&gt;=Inputs!$B$6,1,0),0)</f>
        <v>0</v>
      </c>
      <c r="L119" s="5" t="n">
        <v>0</v>
      </c>
      <c r="M119" s="5" t="n">
        <v>339.1923</v>
      </c>
      <c r="N119" s="5" t="n">
        <v>1.72</v>
      </c>
      <c r="O119" s="4" t="s">
        <v>64</v>
      </c>
      <c r="P119" s="2" t="n">
        <f aca="false">IF(K119=1,J119/G119^2,0)</f>
        <v>0</v>
      </c>
      <c r="Q119" s="2" t="n">
        <f aca="false">IF(K119=1,((E119-Result!$B$7*D119)/G119)^2,0)</f>
        <v>0</v>
      </c>
    </row>
    <row r="120" customFormat="false" ht="15" hidden="false" customHeight="false" outlineLevel="0" collapsed="false">
      <c r="A120" s="4" t="s">
        <v>43</v>
      </c>
      <c r="B120" s="4" t="s">
        <v>183</v>
      </c>
      <c r="C120" s="4" t="s">
        <v>66</v>
      </c>
      <c r="D120" s="5" t="n">
        <v>393.4082</v>
      </c>
      <c r="E120" s="5" t="n">
        <v>1.25</v>
      </c>
      <c r="F120" s="5" t="n">
        <v>0.00506364432547583</v>
      </c>
      <c r="G120" s="5" t="n">
        <v>1.4901</v>
      </c>
      <c r="H120" s="2" t="n">
        <f aca="false">D120*F120</f>
        <v>1.99207919952566</v>
      </c>
      <c r="I120" s="2" t="n">
        <f aca="false">IF(G120="","",D120*1000000/Inputs!$B$4^2*Inputs!$B$5/G120)</f>
        <v>1.3416459258844</v>
      </c>
      <c r="J120" s="2" t="n">
        <f aca="false">IF(C120="A",Inputs!$B$7,IF(C120="B",Inputs!$B$8,IF(C120="C",Inputs!$B$9,0)))</f>
        <v>0.5</v>
      </c>
      <c r="K120" s="2" t="n">
        <f aca="false">IF(AND(E120&lt;&gt;"",G120&lt;&gt;"",J120&gt;0),IF(I120&gt;=Inputs!$B$6,1,0),0)</f>
        <v>0</v>
      </c>
      <c r="L120" s="5" t="n">
        <v>0</v>
      </c>
      <c r="M120" s="5" t="n">
        <v>392.0386</v>
      </c>
      <c r="N120" s="5" t="n">
        <v>1.99</v>
      </c>
      <c r="O120" s="4" t="s">
        <v>64</v>
      </c>
      <c r="P120" s="2" t="n">
        <f aca="false">IF(K120=1,J120/G120^2,0)</f>
        <v>0</v>
      </c>
      <c r="Q120" s="2" t="n">
        <f aca="false">IF(K120=1,((E120-Result!$B$7*D120)/G120)^2,0)</f>
        <v>0</v>
      </c>
    </row>
    <row r="121" customFormat="false" ht="15" hidden="false" customHeight="false" outlineLevel="0" collapsed="false">
      <c r="A121" s="4" t="s">
        <v>43</v>
      </c>
      <c r="B121" s="4" t="s">
        <v>184</v>
      </c>
      <c r="C121" s="4" t="s">
        <v>66</v>
      </c>
      <c r="D121" s="5" t="n">
        <v>115.9025</v>
      </c>
      <c r="E121" s="5" t="n">
        <v>2</v>
      </c>
      <c r="F121" s="5" t="n">
        <v>0.00506356140528294</v>
      </c>
      <c r="G121" s="5" t="n">
        <v>1.4901</v>
      </c>
      <c r="H121" s="2" t="n">
        <f aca="false">D121*F121</f>
        <v>0.586879425775805</v>
      </c>
      <c r="I121" s="2" t="n">
        <f aca="false">IF(G121="","",D121*1000000/Inputs!$B$4^2*Inputs!$B$5/G121)</f>
        <v>0.395264046160747</v>
      </c>
      <c r="J121" s="2" t="n">
        <f aca="false">IF(C121="A",Inputs!$B$7,IF(C121="B",Inputs!$B$8,IF(C121="C",Inputs!$B$9,0)))</f>
        <v>0.5</v>
      </c>
      <c r="K121" s="2" t="n">
        <f aca="false">IF(AND(E121&lt;&gt;"",G121&lt;&gt;"",J121&gt;0),IF(I121&gt;=Inputs!$B$6,1,0),0)</f>
        <v>0</v>
      </c>
      <c r="L121" s="5" t="n">
        <v>0</v>
      </c>
      <c r="M121" s="5" t="n">
        <v>115.5394</v>
      </c>
      <c r="N121" s="5" t="n">
        <v>0.59</v>
      </c>
      <c r="O121" s="4" t="s">
        <v>64</v>
      </c>
      <c r="P121" s="2" t="n">
        <f aca="false">IF(K121=1,J121/G121^2,0)</f>
        <v>0</v>
      </c>
      <c r="Q121" s="2" t="n">
        <f aca="false">IF(K121=1,((E121-Result!$B$7*D121)/G121)^2,0)</f>
        <v>0</v>
      </c>
    </row>
    <row r="122" customFormat="false" ht="15" hidden="false" customHeight="false" outlineLevel="0" collapsed="false">
      <c r="A122" s="4" t="s">
        <v>43</v>
      </c>
      <c r="B122" s="4" t="s">
        <v>185</v>
      </c>
      <c r="C122" s="4" t="s">
        <v>66</v>
      </c>
      <c r="D122" s="5" t="n">
        <v>201.8309</v>
      </c>
      <c r="E122" s="5" t="n">
        <v>1</v>
      </c>
      <c r="F122" s="5" t="n">
        <v>0.00506357785011942</v>
      </c>
      <c r="G122" s="5" t="n">
        <v>1.4901</v>
      </c>
      <c r="H122" s="2" t="n">
        <f aca="false">D122*F122</f>
        <v>1.02198647470967</v>
      </c>
      <c r="I122" s="2" t="n">
        <f aca="false">IF(G122="","",D122*1000000/Inputs!$B$4^2*Inputs!$B$5/G122)</f>
        <v>0.688306966409398</v>
      </c>
      <c r="J122" s="2" t="n">
        <f aca="false">IF(C122="A",Inputs!$B$7,IF(C122="B",Inputs!$B$8,IF(C122="C",Inputs!$B$9,0)))</f>
        <v>0.5</v>
      </c>
      <c r="K122" s="2" t="n">
        <f aca="false">IF(AND(E122&lt;&gt;"",G122&lt;&gt;"",J122&gt;0),IF(I122&gt;=Inputs!$B$6,1,0),0)</f>
        <v>0</v>
      </c>
      <c r="L122" s="5" t="n">
        <v>0</v>
      </c>
      <c r="M122" s="5" t="n">
        <v>201.2187</v>
      </c>
      <c r="N122" s="5"/>
      <c r="O122" s="4" t="s">
        <v>64</v>
      </c>
      <c r="P122" s="2" t="n">
        <f aca="false">IF(K122=1,J122/G122^2,0)</f>
        <v>0</v>
      </c>
      <c r="Q122" s="2" t="n">
        <f aca="false">IF(K122=1,((E122-Result!$B$7*D122)/G122)^2,0)</f>
        <v>0</v>
      </c>
    </row>
    <row r="123" customFormat="false" ht="15" hidden="false" customHeight="false" outlineLevel="0" collapsed="false">
      <c r="A123" s="4" t="s">
        <v>43</v>
      </c>
      <c r="B123" s="4" t="s">
        <v>186</v>
      </c>
      <c r="C123" s="4" t="s">
        <v>66</v>
      </c>
      <c r="D123" s="5" t="n">
        <v>174.234</v>
      </c>
      <c r="E123" s="5" t="n">
        <v>-1.5</v>
      </c>
      <c r="F123" s="5" t="n">
        <v>0.00506362815416901</v>
      </c>
      <c r="G123" s="5" t="n">
        <v>1.4901</v>
      </c>
      <c r="H123" s="2" t="n">
        <f aca="false">D123*F123</f>
        <v>0.882256187813484</v>
      </c>
      <c r="I123" s="2" t="n">
        <f aca="false">IF(G123="","",D123*1000000/Inputs!$B$4^2*Inputs!$B$5/G123)</f>
        <v>0.594192841558825</v>
      </c>
      <c r="J123" s="2" t="n">
        <f aca="false">IF(C123="A",Inputs!$B$7,IF(C123="B",Inputs!$B$8,IF(C123="C",Inputs!$B$9,0)))</f>
        <v>0.5</v>
      </c>
      <c r="K123" s="2" t="n">
        <f aca="false">IF(AND(E123&lt;&gt;"",G123&lt;&gt;"",J123&gt;0),IF(I123&gt;=Inputs!$B$6,1,0),0)</f>
        <v>0</v>
      </c>
      <c r="L123" s="5" t="n">
        <v>0</v>
      </c>
      <c r="M123" s="5" t="n">
        <v>173.7751</v>
      </c>
      <c r="N123" s="5" t="n">
        <v>0.88</v>
      </c>
      <c r="O123" s="4" t="s">
        <v>64</v>
      </c>
      <c r="P123" s="2" t="n">
        <f aca="false">IF(K123=1,J123/G123^2,0)</f>
        <v>0</v>
      </c>
      <c r="Q123" s="2" t="n">
        <f aca="false">IF(K123=1,((E123-Result!$B$7*D123)/G123)^2,0)</f>
        <v>0</v>
      </c>
    </row>
    <row r="124" customFormat="false" ht="15" hidden="false" customHeight="false" outlineLevel="0" collapsed="false">
      <c r="A124" s="4" t="s">
        <v>43</v>
      </c>
      <c r="B124" s="4" t="s">
        <v>187</v>
      </c>
      <c r="C124" s="4" t="s">
        <v>81</v>
      </c>
      <c r="D124" s="5" t="n">
        <v>307.4871</v>
      </c>
      <c r="E124" s="5" t="n">
        <v>1.25</v>
      </c>
      <c r="F124" s="5" t="n">
        <v>0.00506357281735601</v>
      </c>
      <c r="G124" s="5" t="n">
        <v>1.4901</v>
      </c>
      <c r="H124" s="2" t="n">
        <f aca="false">D124*F124</f>
        <v>1.55698332124763</v>
      </c>
      <c r="I124" s="2" t="n">
        <f aca="false">IF(G124="","",D124*1000000/Inputs!$B$4^2*Inputs!$B$5/G124)</f>
        <v>1.048627900936</v>
      </c>
      <c r="J124" s="2" t="n">
        <f aca="false">IF(C124="A",Inputs!$B$7,IF(C124="B",Inputs!$B$8,IF(C124="C",Inputs!$B$9,0)))</f>
        <v>0.25</v>
      </c>
      <c r="K124" s="2" t="n">
        <f aca="false">IF(AND(E124&lt;&gt;"",G124&lt;&gt;"",J124&gt;0),IF(I124&gt;=Inputs!$B$6,1,0),0)</f>
        <v>0</v>
      </c>
      <c r="L124" s="5" t="n">
        <v>0</v>
      </c>
      <c r="M124" s="5" t="n">
        <v>307.4871</v>
      </c>
      <c r="N124" s="5" t="n">
        <v>0.66</v>
      </c>
      <c r="O124" s="4" t="s">
        <v>64</v>
      </c>
      <c r="P124" s="2" t="n">
        <f aca="false">IF(K124=1,J124/G124^2,0)</f>
        <v>0</v>
      </c>
      <c r="Q124" s="2" t="n">
        <f aca="false">IF(K124=1,((E124-Result!$B$7*D124)/G124)^2,0)</f>
        <v>0</v>
      </c>
    </row>
    <row r="125" customFormat="false" ht="15" hidden="false" customHeight="false" outlineLevel="0" collapsed="false">
      <c r="A125" s="4" t="s">
        <v>43</v>
      </c>
      <c r="B125" s="4" t="s">
        <v>188</v>
      </c>
      <c r="C125" s="4" t="s">
        <v>81</v>
      </c>
      <c r="D125" s="5" t="n">
        <v>637.0855</v>
      </c>
      <c r="E125" s="5" t="n">
        <v>1</v>
      </c>
      <c r="F125" s="5" t="n">
        <v>0.00506366594369787</v>
      </c>
      <c r="G125" s="5" t="n">
        <v>1.4901</v>
      </c>
      <c r="H125" s="2" t="n">
        <f aca="false">D125*F125</f>
        <v>3.22598814957373</v>
      </c>
      <c r="I125" s="2" t="n">
        <f aca="false">IF(G125="","",D125*1000000/Inputs!$B$4^2*Inputs!$B$5/G125)</f>
        <v>2.17266230219661</v>
      </c>
      <c r="J125" s="2" t="n">
        <f aca="false">IF(C125="A",Inputs!$B$7,IF(C125="B",Inputs!$B$8,IF(C125="C",Inputs!$B$9,0)))</f>
        <v>0.25</v>
      </c>
      <c r="K125" s="2" t="n">
        <f aca="false">IF(AND(E125&lt;&gt;"",G125&lt;&gt;"",J125&gt;0),IF(I125&gt;=Inputs!$B$6,1,0),0)</f>
        <v>1</v>
      </c>
      <c r="L125" s="5" t="n">
        <v>0</v>
      </c>
      <c r="M125" s="5" t="n">
        <v>637.0855</v>
      </c>
      <c r="N125" s="5" t="n">
        <v>0.66</v>
      </c>
      <c r="O125" s="4" t="s">
        <v>64</v>
      </c>
      <c r="P125" s="2" t="n">
        <f aca="false">IF(K125=1,J125/G125^2,0)</f>
        <v>0.112592426616343</v>
      </c>
      <c r="Q125" s="2" t="n">
        <f aca="false">IF(K125=1,((E125-Result!$B$7*D125)/G125)^2,0)</f>
        <v>2.2188323469114</v>
      </c>
    </row>
    <row r="126" customFormat="false" ht="15" hidden="false" customHeight="false" outlineLevel="0" collapsed="false">
      <c r="A126" s="4" t="s">
        <v>43</v>
      </c>
      <c r="B126" s="4" t="s">
        <v>189</v>
      </c>
      <c r="C126" s="4" t="s">
        <v>81</v>
      </c>
      <c r="D126" s="5" t="n">
        <v>333.148</v>
      </c>
      <c r="E126" s="5" t="n">
        <v>2.25</v>
      </c>
      <c r="F126" s="5" t="n">
        <v>0.00506366971342588</v>
      </c>
      <c r="G126" s="5" t="n">
        <v>1.4901</v>
      </c>
      <c r="H126" s="2" t="n">
        <f aca="false">D126*F126</f>
        <v>1.68695143768841</v>
      </c>
      <c r="I126" s="2" t="n">
        <f aca="false">IF(G126="","",D126*1000000/Inputs!$B$4^2*Inputs!$B$5/G126)</f>
        <v>1.13613965574824</v>
      </c>
      <c r="J126" s="2" t="n">
        <f aca="false">IF(C126="A",Inputs!$B$7,IF(C126="B",Inputs!$B$8,IF(C126="C",Inputs!$B$9,0)))</f>
        <v>0.25</v>
      </c>
      <c r="K126" s="2" t="n">
        <f aca="false">IF(AND(E126&lt;&gt;"",G126&lt;&gt;"",J126&gt;0),IF(I126&gt;=Inputs!$B$6,1,0),0)</f>
        <v>0</v>
      </c>
      <c r="L126" s="5" t="n">
        <v>0</v>
      </c>
      <c r="M126" s="5" t="n">
        <v>333.148</v>
      </c>
      <c r="N126" s="5" t="n">
        <v>3.12</v>
      </c>
      <c r="O126" s="4" t="s">
        <v>64</v>
      </c>
      <c r="P126" s="2" t="n">
        <f aca="false">IF(K126=1,J126/G126^2,0)</f>
        <v>0</v>
      </c>
      <c r="Q126" s="2" t="n">
        <f aca="false">IF(K126=1,((E126-Result!$B$7*D126)/G126)^2,0)</f>
        <v>0</v>
      </c>
    </row>
    <row r="127" customFormat="false" ht="15" hidden="false" customHeight="false" outlineLevel="0" collapsed="false">
      <c r="A127" s="4" t="s">
        <v>43</v>
      </c>
      <c r="B127" s="4" t="s">
        <v>190</v>
      </c>
      <c r="C127" s="4" t="s">
        <v>66</v>
      </c>
      <c r="D127" s="5" t="n">
        <v>136.4122</v>
      </c>
      <c r="E127" s="5" t="n">
        <v>3.25</v>
      </c>
      <c r="F127" s="5" t="n">
        <v>0.00506377198005963</v>
      </c>
      <c r="G127" s="5" t="n">
        <v>1.4901</v>
      </c>
      <c r="H127" s="2" t="n">
        <f aca="false">D127*F127</f>
        <v>0.69076027609829</v>
      </c>
      <c r="I127" s="2" t="n">
        <f aca="false">IF(G127="","",D127*1000000/Inputs!$B$4^2*Inputs!$B$5/G127)</f>
        <v>0.465208585817296</v>
      </c>
      <c r="J127" s="2" t="n">
        <f aca="false">IF(C127="A",Inputs!$B$7,IF(C127="B",Inputs!$B$8,IF(C127="C",Inputs!$B$9,0)))</f>
        <v>0.5</v>
      </c>
      <c r="K127" s="2" t="n">
        <f aca="false">IF(AND(E127&lt;&gt;"",G127&lt;&gt;"",J127&gt;0),IF(I127&gt;=Inputs!$B$6,1,0),0)</f>
        <v>0</v>
      </c>
      <c r="L127" s="5" t="n">
        <v>0</v>
      </c>
      <c r="M127" s="5" t="n">
        <v>135.5036</v>
      </c>
      <c r="N127" s="5" t="n">
        <v>0.69</v>
      </c>
      <c r="O127" s="4" t="s">
        <v>64</v>
      </c>
      <c r="P127" s="2" t="n">
        <f aca="false">IF(K127=1,J127/G127^2,0)</f>
        <v>0</v>
      </c>
      <c r="Q127" s="2" t="n">
        <f aca="false">IF(K127=1,((E127-Result!$B$7*D127)/G127)^2,0)</f>
        <v>0</v>
      </c>
    </row>
    <row r="128" customFormat="false" ht="15" hidden="false" customHeight="false" outlineLevel="0" collapsed="false">
      <c r="A128" s="4" t="s">
        <v>43</v>
      </c>
      <c r="B128" s="4" t="s">
        <v>191</v>
      </c>
      <c r="C128" s="4" t="s">
        <v>66</v>
      </c>
      <c r="D128" s="5" t="n">
        <v>188.547</v>
      </c>
      <c r="E128" s="5" t="n">
        <v>0.75</v>
      </c>
      <c r="F128" s="5" t="n">
        <v>0.00506390402876741</v>
      </c>
      <c r="G128" s="5" t="n">
        <v>1.4901</v>
      </c>
      <c r="H128" s="2" t="n">
        <f aca="false">D128*F128</f>
        <v>0.954783912912009</v>
      </c>
      <c r="I128" s="2" t="n">
        <f aca="false">IF(G128="","",D128*1000000/Inputs!$B$4^2*Inputs!$B$5/G128)</f>
        <v>0.643004681620073</v>
      </c>
      <c r="J128" s="2" t="n">
        <f aca="false">IF(C128="A",Inputs!$B$7,IF(C128="B",Inputs!$B$8,IF(C128="C",Inputs!$B$9,0)))</f>
        <v>0.5</v>
      </c>
      <c r="K128" s="2" t="n">
        <f aca="false">IF(AND(E128&lt;&gt;"",G128&lt;&gt;"",J128&gt;0),IF(I128&gt;=Inputs!$B$6,1,0),0)</f>
        <v>0</v>
      </c>
      <c r="L128" s="5" t="n">
        <v>0</v>
      </c>
      <c r="M128" s="5" t="n">
        <v>187.8656</v>
      </c>
      <c r="N128" s="5" t="n">
        <v>0.96</v>
      </c>
      <c r="O128" s="4" t="s">
        <v>64</v>
      </c>
      <c r="P128" s="2" t="n">
        <f aca="false">IF(K128=1,J128/G128^2,0)</f>
        <v>0</v>
      </c>
      <c r="Q128" s="2" t="n">
        <f aca="false">IF(K128=1,((E128-Result!$B$7*D128)/G128)^2,0)</f>
        <v>0</v>
      </c>
    </row>
    <row r="129" customFormat="false" ht="15" hidden="false" customHeight="false" outlineLevel="0" collapsed="false">
      <c r="A129" s="4" t="s">
        <v>43</v>
      </c>
      <c r="B129" s="4" t="s">
        <v>192</v>
      </c>
      <c r="C129" s="4" t="s">
        <v>66</v>
      </c>
      <c r="D129" s="5" t="n">
        <v>226.8212</v>
      </c>
      <c r="E129" s="5" t="n">
        <v>1.25</v>
      </c>
      <c r="F129" s="5" t="n">
        <v>0.00506396415390925</v>
      </c>
      <c r="G129" s="5" t="n">
        <v>1.4901</v>
      </c>
      <c r="H129" s="2" t="n">
        <f aca="false">D129*F129</f>
        <v>1.14861442614668</v>
      </c>
      <c r="I129" s="2" t="n">
        <f aca="false">IF(G129="","",D129*1000000/Inputs!$B$4^2*Inputs!$B$5/G129)</f>
        <v>0.773531763913946</v>
      </c>
      <c r="J129" s="2" t="n">
        <f aca="false">IF(C129="A",Inputs!$B$7,IF(C129="B",Inputs!$B$8,IF(C129="C",Inputs!$B$9,0)))</f>
        <v>0.5</v>
      </c>
      <c r="K129" s="2" t="n">
        <f aca="false">IF(AND(E129&lt;&gt;"",G129&lt;&gt;"",J129&gt;0),IF(I129&gt;=Inputs!$B$6,1,0),0)</f>
        <v>0</v>
      </c>
      <c r="L129" s="5" t="n">
        <v>0</v>
      </c>
      <c r="M129" s="5" t="n">
        <v>225.8886</v>
      </c>
      <c r="N129" s="5" t="n">
        <v>1.15</v>
      </c>
      <c r="O129" s="4" t="s">
        <v>64</v>
      </c>
      <c r="P129" s="2" t="n">
        <f aca="false">IF(K129=1,J129/G129^2,0)</f>
        <v>0</v>
      </c>
      <c r="Q129" s="2" t="n">
        <f aca="false">IF(K129=1,((E129-Result!$B$7*D129)/G129)^2,0)</f>
        <v>0</v>
      </c>
    </row>
    <row r="130" customFormat="false" ht="15" hidden="false" customHeight="false" outlineLevel="0" collapsed="false">
      <c r="A130" s="4" t="s">
        <v>43</v>
      </c>
      <c r="B130" s="4" t="s">
        <v>193</v>
      </c>
      <c r="C130" s="4" t="s">
        <v>66</v>
      </c>
      <c r="D130" s="5" t="n">
        <v>243.3204</v>
      </c>
      <c r="E130" s="5" t="n">
        <v>2.25</v>
      </c>
      <c r="F130" s="5" t="n">
        <v>0.00506409857483891</v>
      </c>
      <c r="G130" s="5" t="n">
        <v>1.4901</v>
      </c>
      <c r="H130" s="2" t="n">
        <f aca="false">D130*F130</f>
        <v>1.23219849086923</v>
      </c>
      <c r="I130" s="2" t="n">
        <f aca="false">IF(G130="","",D130*1000000/Inputs!$B$4^2*Inputs!$B$5/G130)</f>
        <v>0.829799234852152</v>
      </c>
      <c r="J130" s="2" t="n">
        <f aca="false">IF(C130="A",Inputs!$B$7,IF(C130="B",Inputs!$B$8,IF(C130="C",Inputs!$B$9,0)))</f>
        <v>0.5</v>
      </c>
      <c r="K130" s="2" t="n">
        <f aca="false">IF(AND(E130&lt;&gt;"",G130&lt;&gt;"",J130&gt;0),IF(I130&gt;=Inputs!$B$6,1,0),0)</f>
        <v>0</v>
      </c>
      <c r="L130" s="5" t="n">
        <v>0</v>
      </c>
      <c r="M130" s="5" t="n">
        <v>242.3043</v>
      </c>
      <c r="N130" s="5" t="n">
        <v>1.23</v>
      </c>
      <c r="O130" s="4" t="s">
        <v>64</v>
      </c>
      <c r="P130" s="2" t="n">
        <f aca="false">IF(K130=1,J130/G130^2,0)</f>
        <v>0</v>
      </c>
      <c r="Q130" s="2" t="n">
        <f aca="false">IF(K130=1,((E130-Result!$B$7*D130)/G130)^2,0)</f>
        <v>0</v>
      </c>
    </row>
    <row r="131" customFormat="false" ht="15" hidden="false" customHeight="false" outlineLevel="0" collapsed="false">
      <c r="A131" s="4" t="s">
        <v>43</v>
      </c>
      <c r="B131" s="4" t="s">
        <v>194</v>
      </c>
      <c r="C131" s="4" t="s">
        <v>66</v>
      </c>
      <c r="D131" s="5" t="n">
        <v>254.2611</v>
      </c>
      <c r="E131" s="5" t="n">
        <v>-0.5</v>
      </c>
      <c r="F131" s="5" t="n">
        <v>0.00506410843869494</v>
      </c>
      <c r="G131" s="5" t="n">
        <v>1.4901</v>
      </c>
      <c r="H131" s="2" t="n">
        <f aca="false">D131*F131</f>
        <v>1.28760578214186</v>
      </c>
      <c r="I131" s="2" t="n">
        <f aca="false">IF(G131="","",D131*1000000/Inputs!$B$4^2*Inputs!$B$5/G131)</f>
        <v>0.867110469293436</v>
      </c>
      <c r="J131" s="2" t="n">
        <f aca="false">IF(C131="A",Inputs!$B$7,IF(C131="B",Inputs!$B$8,IF(C131="C",Inputs!$B$9,0)))</f>
        <v>0.5</v>
      </c>
      <c r="K131" s="2" t="n">
        <f aca="false">IF(AND(E131&lt;&gt;"",G131&lt;&gt;"",J131&gt;0),IF(I131&gt;=Inputs!$B$6,1,0),0)</f>
        <v>0</v>
      </c>
      <c r="L131" s="5" t="n">
        <v>0</v>
      </c>
      <c r="M131" s="5" t="n">
        <v>253.4465</v>
      </c>
      <c r="N131" s="5" t="n">
        <v>1.29</v>
      </c>
      <c r="O131" s="4" t="s">
        <v>64</v>
      </c>
      <c r="P131" s="2" t="n">
        <f aca="false">IF(K131=1,J131/G131^2,0)</f>
        <v>0</v>
      </c>
      <c r="Q131" s="2" t="n">
        <f aca="false">IF(K131=1,((E131-Result!$B$7*D131)/G131)^2,0)</f>
        <v>0</v>
      </c>
    </row>
    <row r="132" customFormat="false" ht="15" hidden="false" customHeight="false" outlineLevel="0" collapsed="false">
      <c r="A132" s="4" t="s">
        <v>43</v>
      </c>
      <c r="B132" s="4" t="s">
        <v>195</v>
      </c>
      <c r="C132" s="4" t="s">
        <v>66</v>
      </c>
      <c r="D132" s="5" t="n">
        <v>268.9434</v>
      </c>
      <c r="E132" s="5" t="n">
        <v>0.5</v>
      </c>
      <c r="F132" s="5" t="n">
        <v>0.00506399534696324</v>
      </c>
      <c r="G132" s="5" t="n">
        <v>1.4901</v>
      </c>
      <c r="H132" s="2" t="n">
        <f aca="false">D132*F132</f>
        <v>1.36192812619647</v>
      </c>
      <c r="I132" s="2" t="n">
        <f aca="false">IF(G132="","",D132*1000000/Inputs!$B$4^2*Inputs!$B$5/G132)</f>
        <v>0.917181738722015</v>
      </c>
      <c r="J132" s="2" t="n">
        <f aca="false">IF(C132="A",Inputs!$B$7,IF(C132="B",Inputs!$B$8,IF(C132="C",Inputs!$B$9,0)))</f>
        <v>0.5</v>
      </c>
      <c r="K132" s="2" t="n">
        <f aca="false">IF(AND(E132&lt;&gt;"",G132&lt;&gt;"",J132&gt;0),IF(I132&gt;=Inputs!$B$6,1,0),0)</f>
        <v>0</v>
      </c>
      <c r="L132" s="5" t="n">
        <v>0</v>
      </c>
      <c r="M132" s="5" t="n">
        <v>268.0684</v>
      </c>
      <c r="N132" s="5" t="n">
        <v>1.36</v>
      </c>
      <c r="O132" s="4" t="s">
        <v>64</v>
      </c>
      <c r="P132" s="2" t="n">
        <f aca="false">IF(K132=1,J132/G132^2,0)</f>
        <v>0</v>
      </c>
      <c r="Q132" s="2" t="n">
        <f aca="false">IF(K132=1,((E132-Result!$B$7*D132)/G132)^2,0)</f>
        <v>0</v>
      </c>
    </row>
    <row r="133" customFormat="false" ht="15" hidden="false" customHeight="false" outlineLevel="0" collapsed="false">
      <c r="A133" s="4" t="s">
        <v>43</v>
      </c>
      <c r="B133" s="4" t="s">
        <v>196</v>
      </c>
      <c r="C133" s="4" t="s">
        <v>66</v>
      </c>
      <c r="D133" s="5" t="n">
        <v>243.8223</v>
      </c>
      <c r="E133" s="5" t="n">
        <v>0.75</v>
      </c>
      <c r="F133" s="5" t="n">
        <v>0.00506402350490273</v>
      </c>
      <c r="G133" s="5" t="n">
        <v>1.4901</v>
      </c>
      <c r="H133" s="2" t="n">
        <f aca="false">D133*F133</f>
        <v>1.23472185821945</v>
      </c>
      <c r="I133" s="2" t="n">
        <f aca="false">IF(G133="","",D133*1000000/Inputs!$B$4^2*Inputs!$B$5/G133)</f>
        <v>0.831510872002068</v>
      </c>
      <c r="J133" s="2" t="n">
        <f aca="false">IF(C133="A",Inputs!$B$7,IF(C133="B",Inputs!$B$8,IF(C133="C",Inputs!$B$9,0)))</f>
        <v>0.5</v>
      </c>
      <c r="K133" s="2" t="n">
        <f aca="false">IF(AND(E133&lt;&gt;"",G133&lt;&gt;"",J133&gt;0),IF(I133&gt;=Inputs!$B$6,1,0),0)</f>
        <v>0</v>
      </c>
      <c r="L133" s="5" t="n">
        <v>0</v>
      </c>
      <c r="M133" s="5" t="n">
        <v>242.9314</v>
      </c>
      <c r="N133" s="5" t="n">
        <v>1.24</v>
      </c>
      <c r="O133" s="4" t="s">
        <v>64</v>
      </c>
      <c r="P133" s="2" t="n">
        <f aca="false">IF(K133=1,J133/G133^2,0)</f>
        <v>0</v>
      </c>
      <c r="Q133" s="2" t="n">
        <f aca="false">IF(K133=1,((E133-Result!$B$7*D133)/G133)^2,0)</f>
        <v>0</v>
      </c>
    </row>
    <row r="134" customFormat="false" ht="15" hidden="false" customHeight="false" outlineLevel="0" collapsed="false">
      <c r="A134" s="4" t="s">
        <v>43</v>
      </c>
      <c r="B134" s="4" t="s">
        <v>197</v>
      </c>
      <c r="C134" s="4" t="s">
        <v>66</v>
      </c>
      <c r="D134" s="5" t="n">
        <v>238.6563</v>
      </c>
      <c r="E134" s="5" t="n">
        <v>0</v>
      </c>
      <c r="F134" s="5" t="n">
        <v>0.00506399234344312</v>
      </c>
      <c r="G134" s="5" t="n">
        <v>1.4901</v>
      </c>
      <c r="H134" s="2" t="n">
        <f aca="false">D134*F134</f>
        <v>1.20855367591447</v>
      </c>
      <c r="I134" s="2" t="n">
        <f aca="false">IF(G134="","",D134*1000000/Inputs!$B$4^2*Inputs!$B$5/G134)</f>
        <v>0.813893184182854</v>
      </c>
      <c r="J134" s="2" t="n">
        <f aca="false">IF(C134="A",Inputs!$B$7,IF(C134="B",Inputs!$B$8,IF(C134="C",Inputs!$B$9,0)))</f>
        <v>0.5</v>
      </c>
      <c r="K134" s="2" t="n">
        <f aca="false">IF(AND(E134&lt;&gt;"",G134&lt;&gt;"",J134&gt;0),IF(I134&gt;=Inputs!$B$6,1,0),0)</f>
        <v>0</v>
      </c>
      <c r="L134" s="5" t="n">
        <v>0</v>
      </c>
      <c r="M134" s="5" t="n">
        <v>237.8476</v>
      </c>
      <c r="N134" s="5" t="n">
        <v>1.21</v>
      </c>
      <c r="O134" s="4" t="s">
        <v>64</v>
      </c>
      <c r="P134" s="2" t="n">
        <f aca="false">IF(K134=1,J134/G134^2,0)</f>
        <v>0</v>
      </c>
      <c r="Q134" s="2" t="n">
        <f aca="false">IF(K134=1,((E134-Result!$B$7*D134)/G134)^2,0)</f>
        <v>0</v>
      </c>
    </row>
    <row r="135" customFormat="false" ht="15" hidden="false" customHeight="false" outlineLevel="0" collapsed="false">
      <c r="A135" s="4" t="s">
        <v>43</v>
      </c>
      <c r="B135" s="4" t="s">
        <v>198</v>
      </c>
      <c r="C135" s="4" t="s">
        <v>66</v>
      </c>
      <c r="D135" s="5" t="n">
        <v>138.7786</v>
      </c>
      <c r="E135" s="5" t="n">
        <v>0.75</v>
      </c>
      <c r="F135" s="5" t="n">
        <v>0.00506400027374158</v>
      </c>
      <c r="G135" s="5" t="n">
        <v>1.4901</v>
      </c>
      <c r="H135" s="2" t="n">
        <f aca="false">D135*F135</f>
        <v>0.702774868389474</v>
      </c>
      <c r="I135" s="2" t="n">
        <f aca="false">IF(G135="","",D135*1000000/Inputs!$B$4^2*Inputs!$B$5/G135)</f>
        <v>0.473278755475714</v>
      </c>
      <c r="J135" s="2" t="n">
        <f aca="false">IF(C135="A",Inputs!$B$7,IF(C135="B",Inputs!$B$8,IF(C135="C",Inputs!$B$9,0)))</f>
        <v>0.5</v>
      </c>
      <c r="K135" s="2" t="n">
        <f aca="false">IF(AND(E135&lt;&gt;"",G135&lt;&gt;"",J135&gt;0),IF(I135&gt;=Inputs!$B$6,1,0),0)</f>
        <v>0</v>
      </c>
      <c r="L135" s="5" t="n">
        <v>0</v>
      </c>
      <c r="M135" s="5" t="n">
        <v>139.2947</v>
      </c>
      <c r="N135" s="5" t="n">
        <v>0.7</v>
      </c>
      <c r="O135" s="4" t="s">
        <v>64</v>
      </c>
      <c r="P135" s="2" t="n">
        <f aca="false">IF(K135=1,J135/G135^2,0)</f>
        <v>0</v>
      </c>
      <c r="Q135" s="2" t="n">
        <f aca="false">IF(K135=1,((E135-Result!$B$7*D135)/G135)^2,0)</f>
        <v>0</v>
      </c>
    </row>
    <row r="136" customFormat="false" ht="15" hidden="false" customHeight="false" outlineLevel="0" collapsed="false">
      <c r="A136" s="4" t="s">
        <v>43</v>
      </c>
      <c r="B136" s="4" t="s">
        <v>199</v>
      </c>
      <c r="C136" s="4" t="s">
        <v>66</v>
      </c>
      <c r="D136" s="5" t="n">
        <v>66.0245</v>
      </c>
      <c r="E136" s="5" t="n">
        <v>-0.75</v>
      </c>
      <c r="F136" s="5" t="n">
        <v>0.00506393491488111</v>
      </c>
      <c r="G136" s="5" t="n">
        <v>1.4901</v>
      </c>
      <c r="H136" s="2" t="n">
        <f aca="false">D136*F136</f>
        <v>0.334343770787568</v>
      </c>
      <c r="I136" s="2" t="n">
        <f aca="false">IF(G136="","",D136*1000000/Inputs!$B$4^2*Inputs!$B$5/G136)</f>
        <v>0.225164349481161</v>
      </c>
      <c r="J136" s="2" t="n">
        <f aca="false">IF(C136="A",Inputs!$B$7,IF(C136="B",Inputs!$B$8,IF(C136="C",Inputs!$B$9,0)))</f>
        <v>0.5</v>
      </c>
      <c r="K136" s="2" t="n">
        <f aca="false">IF(AND(E136&lt;&gt;"",G136&lt;&gt;"",J136&gt;0),IF(I136&gt;=Inputs!$B$6,1,0),0)</f>
        <v>0</v>
      </c>
      <c r="L136" s="5" t="n">
        <v>0</v>
      </c>
      <c r="M136" s="5" t="n">
        <v>67.3491</v>
      </c>
      <c r="N136" s="5" t="n">
        <v>0.42</v>
      </c>
      <c r="O136" s="4" t="s">
        <v>64</v>
      </c>
      <c r="P136" s="2" t="n">
        <f aca="false">IF(K136=1,J136/G136^2,0)</f>
        <v>0</v>
      </c>
      <c r="Q136" s="2" t="n">
        <f aca="false">IF(K136=1,((E136-Result!$B$7*D136)/G136)^2,0)</f>
        <v>0</v>
      </c>
    </row>
    <row r="137" customFormat="false" ht="15" hidden="false" customHeight="false" outlineLevel="0" collapsed="false">
      <c r="A137" s="4" t="s">
        <v>43</v>
      </c>
      <c r="B137" s="4" t="s">
        <v>200</v>
      </c>
      <c r="C137" s="4" t="s">
        <v>66</v>
      </c>
      <c r="D137" s="5" t="n">
        <v>64.4283</v>
      </c>
      <c r="E137" s="5" t="n">
        <v>2.75</v>
      </c>
      <c r="F137" s="5" t="n">
        <v>0.00506400445080292</v>
      </c>
      <c r="G137" s="5" t="n">
        <v>1.4901</v>
      </c>
      <c r="H137" s="2" t="n">
        <f aca="false">D137*F137</f>
        <v>0.326265197957666</v>
      </c>
      <c r="I137" s="2" t="n">
        <f aca="false">IF(G137="","",D137*1000000/Inputs!$B$4^2*Inputs!$B$5/G137)</f>
        <v>0.219720804514644</v>
      </c>
      <c r="J137" s="2" t="n">
        <f aca="false">IF(C137="A",Inputs!$B$7,IF(C137="B",Inputs!$B$8,IF(C137="C",Inputs!$B$9,0)))</f>
        <v>0.5</v>
      </c>
      <c r="K137" s="2" t="n">
        <f aca="false">IF(AND(E137&lt;&gt;"",G137&lt;&gt;"",J137&gt;0),IF(I137&gt;=Inputs!$B$6,1,0),0)</f>
        <v>0</v>
      </c>
      <c r="L137" s="5" t="n">
        <v>0</v>
      </c>
      <c r="M137" s="5" t="n">
        <v>65.5308</v>
      </c>
      <c r="N137" s="5" t="n">
        <v>0.33</v>
      </c>
      <c r="O137" s="4" t="s">
        <v>64</v>
      </c>
      <c r="P137" s="2" t="n">
        <f aca="false">IF(K137=1,J137/G137^2,0)</f>
        <v>0</v>
      </c>
      <c r="Q137" s="2" t="n">
        <f aca="false">IF(K137=1,((E137-Result!$B$7*D137)/G137)^2,0)</f>
        <v>0</v>
      </c>
    </row>
    <row r="138" customFormat="false" ht="15" hidden="false" customHeight="false" outlineLevel="0" collapsed="false">
      <c r="A138" s="4" t="s">
        <v>43</v>
      </c>
      <c r="B138" s="4" t="s">
        <v>201</v>
      </c>
      <c r="C138" s="4" t="s">
        <v>66</v>
      </c>
      <c r="D138" s="5" t="n">
        <v>161.4845</v>
      </c>
      <c r="E138" s="5" t="n">
        <v>0</v>
      </c>
      <c r="F138" s="5" t="n">
        <v>0.00506396785906877</v>
      </c>
      <c r="G138" s="5" t="n">
        <v>1.4901</v>
      </c>
      <c r="H138" s="2" t="n">
        <f aca="false">D138*F138</f>
        <v>0.817752317737791</v>
      </c>
      <c r="I138" s="2" t="n">
        <f aca="false">IF(G138="","",D138*1000000/Inputs!$B$4^2*Inputs!$B$5/G138)</f>
        <v>0.550713029160244</v>
      </c>
      <c r="J138" s="2" t="n">
        <f aca="false">IF(C138="A",Inputs!$B$7,IF(C138="B",Inputs!$B$8,IF(C138="C",Inputs!$B$9,0)))</f>
        <v>0.5</v>
      </c>
      <c r="K138" s="2" t="n">
        <f aca="false">IF(AND(E138&lt;&gt;"",G138&lt;&gt;"",J138&gt;0),IF(I138&gt;=Inputs!$B$6,1,0),0)</f>
        <v>0</v>
      </c>
      <c r="L138" s="5" t="n">
        <v>0</v>
      </c>
      <c r="M138" s="5" t="n">
        <v>160.8372</v>
      </c>
      <c r="N138" s="5" t="n">
        <v>0.82</v>
      </c>
      <c r="O138" s="4" t="s">
        <v>64</v>
      </c>
      <c r="P138" s="2" t="n">
        <f aca="false">IF(K138=1,J138/G138^2,0)</f>
        <v>0</v>
      </c>
      <c r="Q138" s="2" t="n">
        <f aca="false">IF(K138=1,((E138-Result!$B$7*D138)/G138)^2,0)</f>
        <v>0</v>
      </c>
    </row>
    <row r="139" customFormat="false" ht="15" hidden="false" customHeight="false" outlineLevel="0" collapsed="false">
      <c r="A139" s="4" t="s">
        <v>43</v>
      </c>
      <c r="B139" s="4" t="s">
        <v>202</v>
      </c>
      <c r="C139" s="4" t="s">
        <v>66</v>
      </c>
      <c r="D139" s="5" t="n">
        <v>125.5744</v>
      </c>
      <c r="E139" s="5" t="n">
        <v>2.75</v>
      </c>
      <c r="F139" s="5" t="n">
        <v>0.00506401737373459</v>
      </c>
      <c r="G139" s="5" t="n">
        <v>1.4901</v>
      </c>
      <c r="H139" s="2" t="n">
        <f aca="false">D139*F139</f>
        <v>0.635910943296296</v>
      </c>
      <c r="I139" s="2" t="n">
        <f aca="false">IF(G139="","",D139*1000000/Inputs!$B$4^2*Inputs!$B$5/G139)</f>
        <v>0.428248272800053</v>
      </c>
      <c r="J139" s="2" t="n">
        <f aca="false">IF(C139="A",Inputs!$B$7,IF(C139="B",Inputs!$B$8,IF(C139="C",Inputs!$B$9,0)))</f>
        <v>0.5</v>
      </c>
      <c r="K139" s="2" t="n">
        <f aca="false">IF(AND(E139&lt;&gt;"",G139&lt;&gt;"",J139&gt;0),IF(I139&gt;=Inputs!$B$6,1,0),0)</f>
        <v>0</v>
      </c>
      <c r="L139" s="5" t="n">
        <v>0</v>
      </c>
      <c r="M139" s="5" t="n">
        <v>125.1702</v>
      </c>
      <c r="N139" s="5" t="n">
        <v>0.63</v>
      </c>
      <c r="O139" s="4" t="s">
        <v>64</v>
      </c>
      <c r="P139" s="2" t="n">
        <f aca="false">IF(K139=1,J139/G139^2,0)</f>
        <v>0</v>
      </c>
      <c r="Q139" s="2" t="n">
        <f aca="false">IF(K139=1,((E139-Result!$B$7*D139)/G139)^2,0)</f>
        <v>0</v>
      </c>
    </row>
    <row r="140" customFormat="false" ht="15" hidden="false" customHeight="false" outlineLevel="0" collapsed="false">
      <c r="A140" s="4" t="s">
        <v>43</v>
      </c>
      <c r="B140" s="4" t="s">
        <v>203</v>
      </c>
      <c r="C140" s="4" t="s">
        <v>66</v>
      </c>
      <c r="D140" s="5" t="n">
        <v>195.6528</v>
      </c>
      <c r="E140" s="5" t="n">
        <v>2.25</v>
      </c>
      <c r="F140" s="5" t="n">
        <v>0.00506400764902351</v>
      </c>
      <c r="G140" s="5" t="n">
        <v>1.4901</v>
      </c>
      <c r="H140" s="2" t="n">
        <f aca="false">D140*F140</f>
        <v>0.990787275752867</v>
      </c>
      <c r="I140" s="2" t="n">
        <f aca="false">IF(G140="","",D140*1000000/Inputs!$B$4^2*Inputs!$B$5/G140)</f>
        <v>0.667237698675003</v>
      </c>
      <c r="J140" s="2" t="n">
        <f aca="false">IF(C140="A",Inputs!$B$7,IF(C140="B",Inputs!$B$8,IF(C140="C",Inputs!$B$9,0)))</f>
        <v>0.5</v>
      </c>
      <c r="K140" s="2" t="n">
        <f aca="false">IF(AND(E140&lt;&gt;"",G140&lt;&gt;"",J140&gt;0),IF(I140&gt;=Inputs!$B$6,1,0),0)</f>
        <v>0</v>
      </c>
      <c r="L140" s="5" t="n">
        <v>0</v>
      </c>
      <c r="M140" s="5" t="n">
        <v>195.0587</v>
      </c>
      <c r="N140" s="5" t="n">
        <v>0.99</v>
      </c>
      <c r="O140" s="4" t="s">
        <v>64</v>
      </c>
      <c r="P140" s="2" t="n">
        <f aca="false">IF(K140=1,J140/G140^2,0)</f>
        <v>0</v>
      </c>
      <c r="Q140" s="2" t="n">
        <f aca="false">IF(K140=1,((E140-Result!$B$7*D140)/G140)^2,0)</f>
        <v>0</v>
      </c>
    </row>
    <row r="141" customFormat="false" ht="15" hidden="false" customHeight="false" outlineLevel="0" collapsed="false">
      <c r="A141" s="4" t="s">
        <v>43</v>
      </c>
      <c r="B141" s="4" t="s">
        <v>204</v>
      </c>
      <c r="C141" s="4" t="s">
        <v>66</v>
      </c>
      <c r="D141" s="5" t="n">
        <v>161.7716</v>
      </c>
      <c r="E141" s="5" t="n">
        <v>1</v>
      </c>
      <c r="F141" s="5" t="n">
        <v>0.00506412022982421</v>
      </c>
      <c r="G141" s="5" t="n">
        <v>1.4901</v>
      </c>
      <c r="H141" s="2" t="n">
        <f aca="false">D141*F141</f>
        <v>0.819230832171031</v>
      </c>
      <c r="I141" s="2" t="n">
        <f aca="false">IF(G141="","",D141*1000000/Inputs!$B$4^2*Inputs!$B$5/G141)</f>
        <v>0.551692130626155</v>
      </c>
      <c r="J141" s="2" t="n">
        <f aca="false">IF(C141="A",Inputs!$B$7,IF(C141="B",Inputs!$B$8,IF(C141="C",Inputs!$B$9,0)))</f>
        <v>0.5</v>
      </c>
      <c r="K141" s="2" t="n">
        <f aca="false">IF(AND(E141&lt;&gt;"",G141&lt;&gt;"",J141&gt;0),IF(I141&gt;=Inputs!$B$6,1,0),0)</f>
        <v>0</v>
      </c>
      <c r="L141" s="5" t="n">
        <v>0</v>
      </c>
      <c r="M141" s="5" t="n">
        <v>161.2625</v>
      </c>
      <c r="N141" s="5" t="n">
        <v>0.82</v>
      </c>
      <c r="O141" s="4" t="s">
        <v>64</v>
      </c>
      <c r="P141" s="2" t="n">
        <f aca="false">IF(K141=1,J141/G141^2,0)</f>
        <v>0</v>
      </c>
      <c r="Q141" s="2" t="n">
        <f aca="false">IF(K141=1,((E141-Result!$B$7*D141)/G141)^2,0)</f>
        <v>0</v>
      </c>
    </row>
    <row r="142" customFormat="false" ht="15" hidden="false" customHeight="false" outlineLevel="0" collapsed="false">
      <c r="A142" s="4" t="s">
        <v>43</v>
      </c>
      <c r="B142" s="4" t="s">
        <v>205</v>
      </c>
      <c r="C142" s="4" t="s">
        <v>66</v>
      </c>
      <c r="D142" s="5" t="n">
        <v>260.8591</v>
      </c>
      <c r="E142" s="5" t="n">
        <v>2.75</v>
      </c>
      <c r="F142" s="5" t="n">
        <v>0.00506413306406164</v>
      </c>
      <c r="G142" s="5" t="n">
        <v>1.4901</v>
      </c>
      <c r="H142" s="2" t="n">
        <f aca="false">D142*F142</f>
        <v>1.32102519337136</v>
      </c>
      <c r="I142" s="2" t="n">
        <f aca="false">IF(G142="","",D142*1000000/Inputs!$B$4^2*Inputs!$B$5/G142)</f>
        <v>0.889611728339346</v>
      </c>
      <c r="J142" s="2" t="n">
        <f aca="false">IF(C142="A",Inputs!$B$7,IF(C142="B",Inputs!$B$8,IF(C142="C",Inputs!$B$9,0)))</f>
        <v>0.5</v>
      </c>
      <c r="K142" s="2" t="n">
        <f aca="false">IF(AND(E142&lt;&gt;"",G142&lt;&gt;"",J142&gt;0),IF(I142&gt;=Inputs!$B$6,1,0),0)</f>
        <v>0</v>
      </c>
      <c r="L142" s="5" t="n">
        <v>0</v>
      </c>
      <c r="M142" s="5" t="n">
        <v>259.9511</v>
      </c>
      <c r="N142" s="5" t="n">
        <v>1.32</v>
      </c>
      <c r="O142" s="4" t="s">
        <v>64</v>
      </c>
      <c r="P142" s="2" t="n">
        <f aca="false">IF(K142=1,J142/G142^2,0)</f>
        <v>0</v>
      </c>
      <c r="Q142" s="2" t="n">
        <f aca="false">IF(K142=1,((E142-Result!$B$7*D142)/G142)^2,0)</f>
        <v>0</v>
      </c>
    </row>
    <row r="143" customFormat="false" ht="15" hidden="false" customHeight="false" outlineLevel="0" collapsed="false">
      <c r="A143" s="4" t="s">
        <v>43</v>
      </c>
      <c r="B143" s="4" t="s">
        <v>206</v>
      </c>
      <c r="C143" s="4" t="s">
        <v>66</v>
      </c>
      <c r="D143" s="5" t="n">
        <v>209.0148</v>
      </c>
      <c r="E143" s="5" t="n">
        <v>-0.5</v>
      </c>
      <c r="F143" s="5" t="n">
        <v>0.00506421135481586</v>
      </c>
      <c r="G143" s="5" t="n">
        <v>1.4901</v>
      </c>
      <c r="H143" s="2" t="n">
        <f aca="false">D143*F143</f>
        <v>1.05849512348457</v>
      </c>
      <c r="I143" s="2" t="n">
        <f aca="false">IF(G143="","",D143*1000000/Inputs!$B$4^2*Inputs!$B$5/G143)</f>
        <v>0.712806329073828</v>
      </c>
      <c r="J143" s="2" t="n">
        <f aca="false">IF(C143="A",Inputs!$B$7,IF(C143="B",Inputs!$B$8,IF(C143="C",Inputs!$B$9,0)))</f>
        <v>0.5</v>
      </c>
      <c r="K143" s="2" t="n">
        <f aca="false">IF(AND(E143&lt;&gt;"",G143&lt;&gt;"",J143&gt;0),IF(I143&gt;=Inputs!$B$6,1,0),0)</f>
        <v>0</v>
      </c>
      <c r="L143" s="5" t="n">
        <v>0</v>
      </c>
      <c r="M143" s="5" t="n">
        <v>208.3443</v>
      </c>
      <c r="N143" s="5" t="n">
        <v>1.06</v>
      </c>
      <c r="O143" s="4" t="s">
        <v>64</v>
      </c>
      <c r="P143" s="2" t="n">
        <f aca="false">IF(K143=1,J143/G143^2,0)</f>
        <v>0</v>
      </c>
      <c r="Q143" s="2" t="n">
        <f aca="false">IF(K143=1,((E143-Result!$B$7*D143)/G143)^2,0)</f>
        <v>0</v>
      </c>
    </row>
    <row r="144" customFormat="false" ht="15" hidden="false" customHeight="false" outlineLevel="0" collapsed="false">
      <c r="A144" s="4" t="s">
        <v>43</v>
      </c>
      <c r="B144" s="4" t="s">
        <v>207</v>
      </c>
      <c r="C144" s="4" t="s">
        <v>66</v>
      </c>
      <c r="D144" s="5" t="n">
        <v>151.1553</v>
      </c>
      <c r="E144" s="5" t="n">
        <v>0.5</v>
      </c>
      <c r="F144" s="5" t="n">
        <v>0.00506422176157263</v>
      </c>
      <c r="G144" s="5" t="n">
        <v>1.4901</v>
      </c>
      <c r="H144" s="2" t="n">
        <f aca="false">D144*F144</f>
        <v>0.765483959637039</v>
      </c>
      <c r="I144" s="2" t="n">
        <f aca="false">IF(G144="","",D144*1000000/Inputs!$B$4^2*Inputs!$B$5/G144)</f>
        <v>0.515487202404104</v>
      </c>
      <c r="J144" s="2" t="n">
        <f aca="false">IF(C144="A",Inputs!$B$7,IF(C144="B",Inputs!$B$8,IF(C144="C",Inputs!$B$9,0)))</f>
        <v>0.5</v>
      </c>
      <c r="K144" s="2" t="n">
        <f aca="false">IF(AND(E144&lt;&gt;"",G144&lt;&gt;"",J144&gt;0),IF(I144&gt;=Inputs!$B$6,1,0),0)</f>
        <v>0</v>
      </c>
      <c r="L144" s="5" t="n">
        <v>0</v>
      </c>
      <c r="M144" s="5" t="n">
        <v>150.6661</v>
      </c>
      <c r="N144" s="5" t="n">
        <v>0.77</v>
      </c>
      <c r="O144" s="4" t="s">
        <v>64</v>
      </c>
      <c r="P144" s="2" t="n">
        <f aca="false">IF(K144=1,J144/G144^2,0)</f>
        <v>0</v>
      </c>
      <c r="Q144" s="2" t="n">
        <f aca="false">IF(K144=1,((E144-Result!$B$7*D144)/G144)^2,0)</f>
        <v>0</v>
      </c>
    </row>
    <row r="145" customFormat="false" ht="15" hidden="false" customHeight="false" outlineLevel="0" collapsed="false">
      <c r="A145" s="4" t="s">
        <v>43</v>
      </c>
      <c r="B145" s="4" t="s">
        <v>208</v>
      </c>
      <c r="C145" s="4" t="s">
        <v>66</v>
      </c>
      <c r="D145" s="5" t="n">
        <v>147.4341</v>
      </c>
      <c r="E145" s="5" t="n">
        <v>0.75</v>
      </c>
      <c r="F145" s="5" t="n">
        <v>0.00506431147742252</v>
      </c>
      <c r="G145" s="5" t="n">
        <v>1.4901</v>
      </c>
      <c r="H145" s="2" t="n">
        <f aca="false">D145*F145</f>
        <v>0.746652204793459</v>
      </c>
      <c r="I145" s="2" t="n">
        <f aca="false">IF(G145="","",D145*1000000/Inputs!$B$4^2*Inputs!$B$5/G145)</f>
        <v>0.502796737844898</v>
      </c>
      <c r="J145" s="2" t="n">
        <f aca="false">IF(C145="A",Inputs!$B$7,IF(C145="B",Inputs!$B$8,IF(C145="C",Inputs!$B$9,0)))</f>
        <v>0.5</v>
      </c>
      <c r="K145" s="2" t="n">
        <f aca="false">IF(AND(E145&lt;&gt;"",G145&lt;&gt;"",J145&gt;0),IF(I145&gt;=Inputs!$B$6,1,0),0)</f>
        <v>0</v>
      </c>
      <c r="L145" s="5" t="n">
        <v>0</v>
      </c>
      <c r="M145" s="5" t="n">
        <v>146.9274</v>
      </c>
      <c r="N145" s="5" t="n">
        <v>0.75</v>
      </c>
      <c r="O145" s="4" t="s">
        <v>64</v>
      </c>
      <c r="P145" s="2" t="n">
        <f aca="false">IF(K145=1,J145/G145^2,0)</f>
        <v>0</v>
      </c>
      <c r="Q145" s="2" t="n">
        <f aca="false">IF(K145=1,((E145-Result!$B$7*D145)/G145)^2,0)</f>
        <v>0</v>
      </c>
    </row>
    <row r="146" customFormat="false" ht="15" hidden="false" customHeight="false" outlineLevel="0" collapsed="false">
      <c r="A146" s="4" t="s">
        <v>43</v>
      </c>
      <c r="B146" s="4" t="s">
        <v>209</v>
      </c>
      <c r="C146" s="4" t="s">
        <v>66</v>
      </c>
      <c r="D146" s="5" t="n">
        <v>21.9326</v>
      </c>
      <c r="E146" s="5" t="n">
        <v>1</v>
      </c>
      <c r="F146" s="5" t="n">
        <v>0.00506434096323154</v>
      </c>
      <c r="G146" s="5" t="n">
        <v>1.4901</v>
      </c>
      <c r="H146" s="2" t="n">
        <f aca="false">D146*F146</f>
        <v>0.111074164610172</v>
      </c>
      <c r="I146" s="2" t="n">
        <f aca="false">IF(G146="","",D146*1000000/Inputs!$B$4^2*Inputs!$B$5/G146)</f>
        <v>0.0747970770158125</v>
      </c>
      <c r="J146" s="2" t="n">
        <f aca="false">IF(C146="A",Inputs!$B$7,IF(C146="B",Inputs!$B$8,IF(C146="C",Inputs!$B$9,0)))</f>
        <v>0.5</v>
      </c>
      <c r="K146" s="2" t="n">
        <f aca="false">IF(AND(E146&lt;&gt;"",G146&lt;&gt;"",J146&gt;0),IF(I146&gt;=Inputs!$B$6,1,0),0)</f>
        <v>0</v>
      </c>
      <c r="L146" s="5" t="n">
        <v>0</v>
      </c>
      <c r="M146" s="5" t="n">
        <v>21.8425</v>
      </c>
      <c r="N146" s="5" t="n">
        <v>0.16</v>
      </c>
      <c r="O146" s="4" t="s">
        <v>64</v>
      </c>
      <c r="P146" s="2" t="n">
        <f aca="false">IF(K146=1,J146/G146^2,0)</f>
        <v>0</v>
      </c>
      <c r="Q146" s="2" t="n">
        <f aca="false">IF(K146=1,((E146-Result!$B$7*D146)/G146)^2,0)</f>
        <v>0</v>
      </c>
    </row>
    <row r="147" customFormat="false" ht="15" hidden="false" customHeight="false" outlineLevel="0" collapsed="false">
      <c r="A147" s="4" t="s">
        <v>43</v>
      </c>
      <c r="B147" s="4" t="s">
        <v>210</v>
      </c>
      <c r="C147" s="4" t="s">
        <v>66</v>
      </c>
      <c r="D147" s="5" t="n">
        <v>10.8118</v>
      </c>
      <c r="E147" s="5" t="n">
        <v>1.25</v>
      </c>
      <c r="F147" s="5" t="n">
        <v>0.00506439165447476</v>
      </c>
      <c r="G147" s="5" t="n">
        <v>1.4901</v>
      </c>
      <c r="H147" s="2" t="n">
        <f aca="false">D147*F147</f>
        <v>0.0547551896898502</v>
      </c>
      <c r="I147" s="2" t="n">
        <f aca="false">IF(G147="","",D147*1000000/Inputs!$B$4^2*Inputs!$B$5/G147)</f>
        <v>0.036871644824579</v>
      </c>
      <c r="J147" s="2" t="n">
        <f aca="false">IF(C147="A",Inputs!$B$7,IF(C147="B",Inputs!$B$8,IF(C147="C",Inputs!$B$9,0)))</f>
        <v>0.5</v>
      </c>
      <c r="K147" s="2" t="n">
        <f aca="false">IF(AND(E147&lt;&gt;"",G147&lt;&gt;"",J147&gt;0),IF(I147&gt;=Inputs!$B$6,1,0),0)</f>
        <v>0</v>
      </c>
      <c r="L147" s="5" t="n">
        <v>0</v>
      </c>
      <c r="M147" s="5" t="n">
        <v>10.7652</v>
      </c>
      <c r="N147" s="5" t="n">
        <v>0.08</v>
      </c>
      <c r="O147" s="4" t="s">
        <v>64</v>
      </c>
      <c r="P147" s="2" t="n">
        <f aca="false">IF(K147=1,J147/G147^2,0)</f>
        <v>0</v>
      </c>
      <c r="Q147" s="2" t="n">
        <f aca="false">IF(K147=1,((E147-Result!$B$7*D147)/G147)^2,0)</f>
        <v>0</v>
      </c>
    </row>
    <row r="148" customFormat="false" ht="15" hidden="false" customHeight="false" outlineLevel="0" collapsed="false">
      <c r="A148" s="4" t="s">
        <v>43</v>
      </c>
      <c r="B148" s="4" t="s">
        <v>211</v>
      </c>
      <c r="C148" s="4"/>
      <c r="D148" s="5" t="n">
        <v>915.3219</v>
      </c>
      <c r="E148" s="5"/>
      <c r="F148" s="5" t="n">
        <v>0.00506357411050685</v>
      </c>
      <c r="G148" s="5" t="n">
        <v>1.4901</v>
      </c>
      <c r="H148" s="2" t="n">
        <f aca="false">D148*F148</f>
        <v>4.63480027561994</v>
      </c>
      <c r="I148" s="2" t="n">
        <f aca="false">IF(G148="","",D148*1000000/Inputs!$B$4^2*Inputs!$B$5/G148)</f>
        <v>3.12153609916562</v>
      </c>
      <c r="J148" s="2" t="n">
        <f aca="false">IF(C148="A",Inputs!$B$7,IF(C148="B",Inputs!$B$8,IF(C148="C",Inputs!$B$9,0)))</f>
        <v>0</v>
      </c>
      <c r="K148" s="2" t="n">
        <f aca="false">IF(AND(E148&lt;&gt;"",G148&lt;&gt;"",J148&gt;0),IF(I148&gt;=Inputs!$B$6,1,0),0)</f>
        <v>0</v>
      </c>
      <c r="L148" s="5" t="n">
        <v>0</v>
      </c>
      <c r="M148" s="5" t="n">
        <v>915.3219</v>
      </c>
      <c r="N148" s="5"/>
      <c r="O148" s="4" t="s">
        <v>64</v>
      </c>
      <c r="P148" s="2" t="n">
        <f aca="false">IF(K148=1,J148/G148^2,0)</f>
        <v>0</v>
      </c>
      <c r="Q148" s="2" t="n">
        <f aca="false">IF(K148=1,((E148-Result!$B$7*D148)/G148)^2,0)</f>
        <v>0</v>
      </c>
    </row>
    <row r="149" customFormat="false" ht="15" hidden="false" customHeight="false" outlineLevel="0" collapsed="false">
      <c r="A149" s="4" t="s">
        <v>43</v>
      </c>
      <c r="B149" s="4" t="s">
        <v>212</v>
      </c>
      <c r="C149" s="4"/>
      <c r="D149" s="5" t="n">
        <v>2050.5429</v>
      </c>
      <c r="E149" s="5"/>
      <c r="F149" s="5" t="n">
        <v>0.00506358016717885</v>
      </c>
      <c r="G149" s="5" t="n">
        <v>1.4901</v>
      </c>
      <c r="H149" s="2" t="n">
        <f aca="false">D149*F149</f>
        <v>10.3830883603894</v>
      </c>
      <c r="I149" s="2" t="n">
        <f aca="false">IF(G149="","",D149*1000000/Inputs!$B$4^2*Inputs!$B$5/G149)</f>
        <v>6.99299742007457</v>
      </c>
      <c r="J149" s="2" t="n">
        <f aca="false">IF(C149="A",Inputs!$B$7,IF(C149="B",Inputs!$B$8,IF(C149="C",Inputs!$B$9,0)))</f>
        <v>0</v>
      </c>
      <c r="K149" s="2" t="n">
        <f aca="false">IF(AND(E149&lt;&gt;"",G149&lt;&gt;"",J149&gt;0),IF(I149&gt;=Inputs!$B$6,1,0),0)</f>
        <v>0</v>
      </c>
      <c r="L149" s="5" t="n">
        <v>0</v>
      </c>
      <c r="M149" s="5" t="n">
        <v>2050.5429</v>
      </c>
      <c r="N149" s="5"/>
      <c r="O149" s="4" t="s">
        <v>64</v>
      </c>
      <c r="P149" s="2" t="n">
        <f aca="false">IF(K149=1,J149/G149^2,0)</f>
        <v>0</v>
      </c>
      <c r="Q149" s="2" t="n">
        <f aca="false">IF(K149=1,((E149-Result!$B$7*D149)/G149)^2,0)</f>
        <v>0</v>
      </c>
    </row>
    <row r="150" customFormat="false" ht="15" hidden="false" customHeight="false" outlineLevel="0" collapsed="false">
      <c r="A150" s="4" t="s">
        <v>40</v>
      </c>
      <c r="B150" s="4" t="s">
        <v>213</v>
      </c>
      <c r="C150" s="4" t="s">
        <v>63</v>
      </c>
      <c r="D150" s="5" t="n">
        <v>392.6435</v>
      </c>
      <c r="E150" s="5" t="n">
        <v>-0.52</v>
      </c>
      <c r="F150" s="5" t="n">
        <v>0.00506333638313146</v>
      </c>
      <c r="G150" s="5" t="n">
        <v>1.0788</v>
      </c>
      <c r="H150" s="2" t="n">
        <f aca="false">D150*F150</f>
        <v>1.98808611915008</v>
      </c>
      <c r="I150" s="2" t="n">
        <f aca="false">IF(G150="","",D150*1000000/Inputs!$B$4^2*Inputs!$B$5/G150)</f>
        <v>1.84955562672866</v>
      </c>
      <c r="J150" s="2" t="n">
        <f aca="false">IF(C150="A",Inputs!$B$7,IF(C150="B",Inputs!$B$8,IF(C150="C",Inputs!$B$9,0)))</f>
        <v>1</v>
      </c>
      <c r="K150" s="2" t="n">
        <f aca="false">IF(AND(E150&lt;&gt;"",G150&lt;&gt;"",J150&gt;0),IF(I150&gt;=Inputs!$B$6,1,0),0)</f>
        <v>0</v>
      </c>
      <c r="L150" s="5" t="n">
        <v>0</v>
      </c>
      <c r="M150" s="5" t="n">
        <v>392.7371</v>
      </c>
      <c r="N150" s="5" t="n">
        <v>1.99</v>
      </c>
      <c r="O150" s="4" t="s">
        <v>64</v>
      </c>
      <c r="P150" s="2" t="n">
        <f aca="false">IF(K150=1,J150/G150^2,0)</f>
        <v>0</v>
      </c>
      <c r="Q150" s="2" t="n">
        <f aca="false">IF(K150=1,((E150-Result!$B$7*D150)/G150)^2,0)</f>
        <v>0</v>
      </c>
    </row>
    <row r="151" customFormat="false" ht="15" hidden="false" customHeight="false" outlineLevel="0" collapsed="false">
      <c r="A151" s="4" t="s">
        <v>40</v>
      </c>
      <c r="B151" s="4" t="s">
        <v>214</v>
      </c>
      <c r="C151" s="4" t="s">
        <v>63</v>
      </c>
      <c r="D151" s="5" t="n">
        <v>442.5908</v>
      </c>
      <c r="E151" s="5" t="n">
        <v>1.91</v>
      </c>
      <c r="F151" s="5" t="n">
        <v>0.00506343583133026</v>
      </c>
      <c r="G151" s="5" t="n">
        <v>1.0788</v>
      </c>
      <c r="H151" s="2" t="n">
        <f aca="false">D151*F151</f>
        <v>2.24103011533713</v>
      </c>
      <c r="I151" s="2" t="n">
        <f aca="false">IF(G151="","",D151*1000000/Inputs!$B$4^2*Inputs!$B$5/G151)</f>
        <v>2.08483345446528</v>
      </c>
      <c r="J151" s="2" t="n">
        <f aca="false">IF(C151="A",Inputs!$B$7,IF(C151="B",Inputs!$B$8,IF(C151="C",Inputs!$B$9,0)))</f>
        <v>1</v>
      </c>
      <c r="K151" s="2" t="n">
        <f aca="false">IF(AND(E151&lt;&gt;"",G151&lt;&gt;"",J151&gt;0),IF(I151&gt;=Inputs!$B$6,1,0),0)</f>
        <v>1</v>
      </c>
      <c r="L151" s="5" t="n">
        <v>0</v>
      </c>
      <c r="M151" s="5" t="n">
        <v>442.6965</v>
      </c>
      <c r="N151" s="5" t="n">
        <v>2.24</v>
      </c>
      <c r="O151" s="4" t="s">
        <v>64</v>
      </c>
      <c r="P151" s="2" t="n">
        <f aca="false">IF(K151=1,J151/G151^2,0)</f>
        <v>0.859247197719929</v>
      </c>
      <c r="Q151" s="2" t="n">
        <f aca="false">IF(K151=1,((E151-Result!$B$7*D151)/G151)^2,0)</f>
        <v>0.0917124557770013</v>
      </c>
    </row>
    <row r="152" customFormat="false" ht="15" hidden="false" customHeight="false" outlineLevel="0" collapsed="false">
      <c r="A152" s="4" t="s">
        <v>40</v>
      </c>
      <c r="B152" s="4" t="s">
        <v>215</v>
      </c>
      <c r="C152" s="4" t="s">
        <v>63</v>
      </c>
      <c r="D152" s="5" t="n">
        <v>412.9345</v>
      </c>
      <c r="E152" s="5" t="n">
        <v>2.52</v>
      </c>
      <c r="F152" s="5" t="n">
        <v>0.00506336644299979</v>
      </c>
      <c r="G152" s="5" t="n">
        <v>1.0788</v>
      </c>
      <c r="H152" s="2" t="n">
        <f aca="false">D152*F152</f>
        <v>2.0908386904569</v>
      </c>
      <c r="I152" s="2" t="n">
        <f aca="false">IF(G152="","",D152*1000000/Inputs!$B$4^2*Inputs!$B$5/G152)</f>
        <v>1.94513681735566</v>
      </c>
      <c r="J152" s="2" t="n">
        <f aca="false">IF(C152="A",Inputs!$B$7,IF(C152="B",Inputs!$B$8,IF(C152="C",Inputs!$B$9,0)))</f>
        <v>1</v>
      </c>
      <c r="K152" s="2" t="n">
        <f aca="false">IF(AND(E152&lt;&gt;"",G152&lt;&gt;"",J152&gt;0),IF(I152&gt;=Inputs!$B$6,1,0),0)</f>
        <v>0</v>
      </c>
      <c r="L152" s="5" t="n">
        <v>0</v>
      </c>
      <c r="M152" s="5" t="n">
        <v>413.0335</v>
      </c>
      <c r="N152" s="5" t="n">
        <v>2.09</v>
      </c>
      <c r="O152" s="4" t="s">
        <v>64</v>
      </c>
      <c r="P152" s="2" t="n">
        <f aca="false">IF(K152=1,J152/G152^2,0)</f>
        <v>0</v>
      </c>
      <c r="Q152" s="2" t="n">
        <f aca="false">IF(K152=1,((E152-Result!$B$7*D152)/G152)^2,0)</f>
        <v>0</v>
      </c>
    </row>
    <row r="153" customFormat="false" ht="15" hidden="false" customHeight="false" outlineLevel="0" collapsed="false">
      <c r="A153" s="4" t="s">
        <v>40</v>
      </c>
      <c r="B153" s="4" t="s">
        <v>216</v>
      </c>
      <c r="C153" s="4" t="s">
        <v>63</v>
      </c>
      <c r="D153" s="5" t="n">
        <v>375.7507</v>
      </c>
      <c r="E153" s="5" t="n">
        <v>2.42</v>
      </c>
      <c r="F153" s="5" t="n">
        <v>0.00506320021206128</v>
      </c>
      <c r="G153" s="5" t="n">
        <v>1.0788</v>
      </c>
      <c r="H153" s="2" t="n">
        <f aca="false">D153*F153</f>
        <v>1.90250102392218</v>
      </c>
      <c r="I153" s="2" t="n">
        <f aca="false">IF(G153="","",D153*1000000/Inputs!$B$4^2*Inputs!$B$5/G153)</f>
        <v>1.7699817300738</v>
      </c>
      <c r="J153" s="2" t="n">
        <f aca="false">IF(C153="A",Inputs!$B$7,IF(C153="B",Inputs!$B$8,IF(C153="C",Inputs!$B$9,0)))</f>
        <v>1</v>
      </c>
      <c r="K153" s="2" t="n">
        <f aca="false">IF(AND(E153&lt;&gt;"",G153&lt;&gt;"",J153&gt;0),IF(I153&gt;=Inputs!$B$6,1,0),0)</f>
        <v>0</v>
      </c>
      <c r="L153" s="5" t="n">
        <v>0</v>
      </c>
      <c r="M153" s="5" t="n">
        <v>375.84</v>
      </c>
      <c r="N153" s="5" t="n">
        <v>1.9</v>
      </c>
      <c r="O153" s="4" t="s">
        <v>64</v>
      </c>
      <c r="P153" s="2" t="n">
        <f aca="false">IF(K153=1,J153/G153^2,0)</f>
        <v>0</v>
      </c>
      <c r="Q153" s="2" t="n">
        <f aca="false">IF(K153=1,((E153-Result!$B$7*D153)/G153)^2,0)</f>
        <v>0</v>
      </c>
    </row>
    <row r="154" customFormat="false" ht="15" hidden="false" customHeight="false" outlineLevel="0" collapsed="false">
      <c r="A154" s="4" t="s">
        <v>40</v>
      </c>
      <c r="B154" s="4" t="s">
        <v>217</v>
      </c>
      <c r="C154" s="4" t="s">
        <v>63</v>
      </c>
      <c r="D154" s="5" t="n">
        <v>206.2165</v>
      </c>
      <c r="E154" s="5" t="n">
        <v>0.73</v>
      </c>
      <c r="F154" s="5" t="n">
        <v>0.0050632506139357</v>
      </c>
      <c r="G154" s="5" t="n">
        <v>1.0788</v>
      </c>
      <c r="H154" s="2" t="n">
        <f aca="false">D154*F154</f>
        <v>1.04412582022867</v>
      </c>
      <c r="I154" s="2" t="n">
        <f aca="false">IF(G154="","",D154*1000000/Inputs!$B$4^2*Inputs!$B$5/G154)</f>
        <v>0.971387245425662</v>
      </c>
      <c r="J154" s="2" t="n">
        <f aca="false">IF(C154="A",Inputs!$B$7,IF(C154="B",Inputs!$B$8,IF(C154="C",Inputs!$B$9,0)))</f>
        <v>1</v>
      </c>
      <c r="K154" s="2" t="n">
        <f aca="false">IF(AND(E154&lt;&gt;"",G154&lt;&gt;"",J154&gt;0),IF(I154&gt;=Inputs!$B$6,1,0),0)</f>
        <v>0</v>
      </c>
      <c r="L154" s="5" t="n">
        <v>0</v>
      </c>
      <c r="M154" s="5" t="n">
        <v>206.2652</v>
      </c>
      <c r="N154" s="5" t="n">
        <v>1.04</v>
      </c>
      <c r="O154" s="4" t="s">
        <v>64</v>
      </c>
      <c r="P154" s="2" t="n">
        <f aca="false">IF(K154=1,J154/G154^2,0)</f>
        <v>0</v>
      </c>
      <c r="Q154" s="2" t="n">
        <f aca="false">IF(K154=1,((E154-Result!$B$7*D154)/G154)^2,0)</f>
        <v>0</v>
      </c>
    </row>
    <row r="155" customFormat="false" ht="15" hidden="false" customHeight="false" outlineLevel="0" collapsed="false">
      <c r="A155" s="4" t="s">
        <v>40</v>
      </c>
      <c r="B155" s="4" t="s">
        <v>218</v>
      </c>
      <c r="C155" s="4" t="s">
        <v>63</v>
      </c>
      <c r="D155" s="5" t="n">
        <v>346.1953</v>
      </c>
      <c r="E155" s="5" t="n">
        <v>1.1</v>
      </c>
      <c r="F155" s="5" t="n">
        <v>0.00506322164044389</v>
      </c>
      <c r="G155" s="5" t="n">
        <v>1.0788</v>
      </c>
      <c r="H155" s="2" t="n">
        <f aca="false">D155*F155</f>
        <v>1.75286353477997</v>
      </c>
      <c r="I155" s="2" t="n">
        <f aca="false">IF(G155="","",D155*1000000/Inputs!$B$4^2*Inputs!$B$5/G155)</f>
        <v>1.63076038457791</v>
      </c>
      <c r="J155" s="2" t="n">
        <f aca="false">IF(C155="A",Inputs!$B$7,IF(C155="B",Inputs!$B$8,IF(C155="C",Inputs!$B$9,0)))</f>
        <v>1</v>
      </c>
      <c r="K155" s="2" t="n">
        <f aca="false">IF(AND(E155&lt;&gt;"",G155&lt;&gt;"",J155&gt;0),IF(I155&gt;=Inputs!$B$6,1,0),0)</f>
        <v>0</v>
      </c>
      <c r="L155" s="5" t="n">
        <v>0</v>
      </c>
      <c r="M155" s="5" t="n">
        <v>346.2787</v>
      </c>
      <c r="N155" s="5" t="n">
        <v>1.75</v>
      </c>
      <c r="O155" s="4" t="s">
        <v>64</v>
      </c>
      <c r="P155" s="2" t="n">
        <f aca="false">IF(K155=1,J155/G155^2,0)</f>
        <v>0</v>
      </c>
      <c r="Q155" s="2" t="n">
        <f aca="false">IF(K155=1,((E155-Result!$B$7*D155)/G155)^2,0)</f>
        <v>0</v>
      </c>
    </row>
    <row r="156" customFormat="false" ht="15" hidden="false" customHeight="false" outlineLevel="0" collapsed="false">
      <c r="A156" s="4" t="s">
        <v>40</v>
      </c>
      <c r="B156" s="4" t="s">
        <v>219</v>
      </c>
      <c r="C156" s="4" t="s">
        <v>63</v>
      </c>
      <c r="D156" s="5" t="n">
        <v>414.1713</v>
      </c>
      <c r="E156" s="5" t="n">
        <v>-1.03</v>
      </c>
      <c r="F156" s="5" t="n">
        <v>0.00506339615255265</v>
      </c>
      <c r="G156" s="5" t="n">
        <v>1.0788</v>
      </c>
      <c r="H156" s="2" t="n">
        <f aca="false">D156*F156</f>
        <v>2.09711336691773</v>
      </c>
      <c r="I156" s="2" t="n">
        <f aca="false">IF(G156="","",D156*1000000/Inputs!$B$4^2*Inputs!$B$5/G156)</f>
        <v>1.95096279027801</v>
      </c>
      <c r="J156" s="2" t="n">
        <f aca="false">IF(C156="A",Inputs!$B$7,IF(C156="B",Inputs!$B$8,IF(C156="C",Inputs!$B$9,0)))</f>
        <v>1</v>
      </c>
      <c r="K156" s="2" t="n">
        <f aca="false">IF(AND(E156&lt;&gt;"",G156&lt;&gt;"",J156&gt;0),IF(I156&gt;=Inputs!$B$6,1,0),0)</f>
        <v>0</v>
      </c>
      <c r="L156" s="5" t="n">
        <v>0</v>
      </c>
      <c r="M156" s="5" t="n">
        <v>414.2706</v>
      </c>
      <c r="N156" s="5" t="n">
        <v>2.1</v>
      </c>
      <c r="O156" s="4" t="s">
        <v>64</v>
      </c>
      <c r="P156" s="2" t="n">
        <f aca="false">IF(K156=1,J156/G156^2,0)</f>
        <v>0</v>
      </c>
      <c r="Q156" s="2" t="n">
        <f aca="false">IF(K156=1,((E156-Result!$B$7*D156)/G156)^2,0)</f>
        <v>0</v>
      </c>
    </row>
    <row r="157" customFormat="false" ht="15" hidden="false" customHeight="false" outlineLevel="0" collapsed="false">
      <c r="A157" s="4" t="s">
        <v>40</v>
      </c>
      <c r="B157" s="4" t="s">
        <v>220</v>
      </c>
      <c r="C157" s="4" t="s">
        <v>63</v>
      </c>
      <c r="D157" s="5" t="n">
        <v>281.2689</v>
      </c>
      <c r="E157" s="5" t="n">
        <v>1.81</v>
      </c>
      <c r="F157" s="5" t="n">
        <v>0.00506346025975734</v>
      </c>
      <c r="G157" s="5" t="n">
        <v>1.0788</v>
      </c>
      <c r="H157" s="2" t="n">
        <f aca="false">D157*F157</f>
        <v>1.42419389745566</v>
      </c>
      <c r="I157" s="2" t="n">
        <f aca="false">IF(G157="","",D157*1000000/Inputs!$B$4^2*Inputs!$B$5/G157)</f>
        <v>1.32492318507445</v>
      </c>
      <c r="J157" s="2" t="n">
        <f aca="false">IF(C157="A",Inputs!$B$7,IF(C157="B",Inputs!$B$8,IF(C157="C",Inputs!$B$9,0)))</f>
        <v>1</v>
      </c>
      <c r="K157" s="2" t="n">
        <f aca="false">IF(AND(E157&lt;&gt;"",G157&lt;&gt;"",J157&gt;0),IF(I157&gt;=Inputs!$B$6,1,0),0)</f>
        <v>0</v>
      </c>
      <c r="L157" s="5" t="n">
        <v>0</v>
      </c>
      <c r="M157" s="5" t="n">
        <v>281.3357</v>
      </c>
      <c r="N157" s="5" t="n">
        <v>1.42</v>
      </c>
      <c r="O157" s="4" t="s">
        <v>64</v>
      </c>
      <c r="P157" s="2" t="n">
        <f aca="false">IF(K157=1,J157/G157^2,0)</f>
        <v>0</v>
      </c>
      <c r="Q157" s="2" t="n">
        <f aca="false">IF(K157=1,((E157-Result!$B$7*D157)/G157)^2,0)</f>
        <v>0</v>
      </c>
    </row>
    <row r="158" customFormat="false" ht="15" hidden="false" customHeight="false" outlineLevel="0" collapsed="false">
      <c r="A158" s="4" t="s">
        <v>40</v>
      </c>
      <c r="B158" s="4" t="s">
        <v>221</v>
      </c>
      <c r="C158" s="4" t="s">
        <v>63</v>
      </c>
      <c r="D158" s="5" t="n">
        <v>362.5163</v>
      </c>
      <c r="E158" s="5" t="n">
        <v>3.04</v>
      </c>
      <c r="F158" s="5" t="n">
        <v>0.00506340081688432</v>
      </c>
      <c r="G158" s="5" t="n">
        <v>1.0788</v>
      </c>
      <c r="H158" s="2" t="n">
        <f aca="false">D158*F158</f>
        <v>1.83556532955388</v>
      </c>
      <c r="I158" s="2" t="n">
        <f aca="false">IF(G158="","",D158*1000000/Inputs!$B$4^2*Inputs!$B$5/G158)</f>
        <v>1.7076408050709</v>
      </c>
      <c r="J158" s="2" t="n">
        <f aca="false">IF(C158="A",Inputs!$B$7,IF(C158="B",Inputs!$B$8,IF(C158="C",Inputs!$B$9,0)))</f>
        <v>1</v>
      </c>
      <c r="K158" s="2" t="n">
        <f aca="false">IF(AND(E158&lt;&gt;"",G158&lt;&gt;"",J158&gt;0),IF(I158&gt;=Inputs!$B$6,1,0),0)</f>
        <v>0</v>
      </c>
      <c r="L158" s="5" t="n">
        <v>0</v>
      </c>
      <c r="M158" s="5" t="n">
        <v>362.6029</v>
      </c>
      <c r="N158" s="5" t="n">
        <v>1.84</v>
      </c>
      <c r="O158" s="4" t="s">
        <v>64</v>
      </c>
      <c r="P158" s="2" t="n">
        <f aca="false">IF(K158=1,J158/G158^2,0)</f>
        <v>0</v>
      </c>
      <c r="Q158" s="2" t="n">
        <f aca="false">IF(K158=1,((E158-Result!$B$7*D158)/G158)^2,0)</f>
        <v>0</v>
      </c>
    </row>
    <row r="159" customFormat="false" ht="15" hidden="false" customHeight="false" outlineLevel="0" collapsed="false">
      <c r="A159" s="4" t="s">
        <v>40</v>
      </c>
      <c r="B159" s="4" t="s">
        <v>222</v>
      </c>
      <c r="C159" s="4" t="s">
        <v>63</v>
      </c>
      <c r="D159" s="5" t="n">
        <v>680.8082</v>
      </c>
      <c r="E159" s="5" t="n">
        <v>5.69</v>
      </c>
      <c r="F159" s="5" t="n">
        <v>0.00506325145988357</v>
      </c>
      <c r="G159" s="5" t="n">
        <v>1.0788</v>
      </c>
      <c r="H159" s="2" t="n">
        <f aca="false">D159*F159</f>
        <v>3.44710311255071</v>
      </c>
      <c r="I159" s="2" t="n">
        <f aca="false">IF(G159="","",D159*1000000/Inputs!$B$4^2*Inputs!$B$5/G159)</f>
        <v>3.20696162557896</v>
      </c>
      <c r="J159" s="2" t="n">
        <f aca="false">IF(C159="A",Inputs!$B$7,IF(C159="B",Inputs!$B$8,IF(C159="C",Inputs!$B$9,0)))</f>
        <v>1</v>
      </c>
      <c r="K159" s="2" t="n">
        <f aca="false">IF(AND(E159&lt;&gt;"",G159&lt;&gt;"",J159&gt;0),IF(I159&gt;=Inputs!$B$6,1,0),0)</f>
        <v>1</v>
      </c>
      <c r="L159" s="5" t="n">
        <v>0</v>
      </c>
      <c r="M159" s="5" t="n">
        <v>680.9725</v>
      </c>
      <c r="N159" s="5" t="n">
        <v>3.45</v>
      </c>
      <c r="O159" s="4" t="s">
        <v>64</v>
      </c>
      <c r="P159" s="2" t="n">
        <f aca="false">IF(K159=1,J159/G159^2,0)</f>
        <v>0.859247197719929</v>
      </c>
      <c r="Q159" s="2" t="n">
        <f aca="false">IF(K159=1,((E159-Result!$B$7*D159)/G159)^2,0)</f>
        <v>4.34771667165594</v>
      </c>
    </row>
    <row r="160" customFormat="false" ht="15" hidden="false" customHeight="false" outlineLevel="0" collapsed="false">
      <c r="A160" s="4" t="s">
        <v>40</v>
      </c>
      <c r="B160" s="4" t="s">
        <v>223</v>
      </c>
      <c r="C160" s="4" t="s">
        <v>63</v>
      </c>
      <c r="D160" s="5" t="n">
        <v>247.012</v>
      </c>
      <c r="E160" s="5" t="n">
        <v>2.08</v>
      </c>
      <c r="F160" s="5" t="n">
        <v>0.00506326086473924</v>
      </c>
      <c r="G160" s="5" t="n">
        <v>1.0788</v>
      </c>
      <c r="H160" s="2" t="n">
        <f aca="false">D160*F160</f>
        <v>1.25068619272097</v>
      </c>
      <c r="I160" s="2" t="n">
        <f aca="false">IF(G160="","",D160*1000000/Inputs!$B$4^2*Inputs!$B$5/G160)</f>
        <v>1.16355532300802</v>
      </c>
      <c r="J160" s="2" t="n">
        <f aca="false">IF(C160="A",Inputs!$B$7,IF(C160="B",Inputs!$B$8,IF(C160="C",Inputs!$B$9,0)))</f>
        <v>1</v>
      </c>
      <c r="K160" s="2" t="n">
        <f aca="false">IF(AND(E160&lt;&gt;"",G160&lt;&gt;"",J160&gt;0),IF(I160&gt;=Inputs!$B$6,1,0),0)</f>
        <v>0</v>
      </c>
      <c r="L160" s="5" t="n">
        <v>0</v>
      </c>
      <c r="M160" s="5" t="n">
        <v>247.0717</v>
      </c>
      <c r="N160" s="5" t="n">
        <v>1.25</v>
      </c>
      <c r="O160" s="4" t="s">
        <v>64</v>
      </c>
      <c r="P160" s="2" t="n">
        <f aca="false">IF(K160=1,J160/G160^2,0)</f>
        <v>0</v>
      </c>
      <c r="Q160" s="2" t="n">
        <f aca="false">IF(K160=1,((E160-Result!$B$7*D160)/G160)^2,0)</f>
        <v>0</v>
      </c>
    </row>
    <row r="161" customFormat="false" ht="15" hidden="false" customHeight="false" outlineLevel="0" collapsed="false">
      <c r="A161" s="4" t="s">
        <v>40</v>
      </c>
      <c r="B161" s="4" t="s">
        <v>224</v>
      </c>
      <c r="C161" s="4" t="s">
        <v>63</v>
      </c>
      <c r="D161" s="5" t="n">
        <v>310.7191</v>
      </c>
      <c r="E161" s="5" t="n">
        <v>2.31</v>
      </c>
      <c r="F161" s="5" t="n">
        <v>0.00506315885522073</v>
      </c>
      <c r="G161" s="5" t="n">
        <v>1.0788</v>
      </c>
      <c r="H161" s="2" t="n">
        <f aca="false">D161*F161</f>
        <v>1.57322016265121</v>
      </c>
      <c r="I161" s="2" t="n">
        <f aca="false">IF(G161="","",D161*1000000/Inputs!$B$4^2*Inputs!$B$5/G161)</f>
        <v>1.4636489837144</v>
      </c>
      <c r="J161" s="2" t="n">
        <f aca="false">IF(C161="A",Inputs!$B$7,IF(C161="B",Inputs!$B$8,IF(C161="C",Inputs!$B$9,0)))</f>
        <v>1</v>
      </c>
      <c r="K161" s="2" t="n">
        <f aca="false">IF(AND(E161&lt;&gt;"",G161&lt;&gt;"",J161&gt;0),IF(I161&gt;=Inputs!$B$6,1,0),0)</f>
        <v>0</v>
      </c>
      <c r="L161" s="5" t="n">
        <v>0</v>
      </c>
      <c r="M161" s="5" t="n">
        <v>310.7937</v>
      </c>
      <c r="N161" s="5" t="n">
        <v>1.57</v>
      </c>
      <c r="O161" s="4" t="s">
        <v>64</v>
      </c>
      <c r="P161" s="2" t="n">
        <f aca="false">IF(K161=1,J161/G161^2,0)</f>
        <v>0</v>
      </c>
      <c r="Q161" s="2" t="n">
        <f aca="false">IF(K161=1,((E161-Result!$B$7*D161)/G161)^2,0)</f>
        <v>0</v>
      </c>
    </row>
    <row r="162" customFormat="false" ht="15" hidden="false" customHeight="false" outlineLevel="0" collapsed="false">
      <c r="A162" s="4" t="s">
        <v>40</v>
      </c>
      <c r="B162" s="4" t="s">
        <v>225</v>
      </c>
      <c r="C162" s="4" t="s">
        <v>63</v>
      </c>
      <c r="D162" s="5" t="n">
        <v>351.7109</v>
      </c>
      <c r="E162" s="5" t="n">
        <v>0.77</v>
      </c>
      <c r="F162" s="5" t="n">
        <v>0.00506325179710254</v>
      </c>
      <c r="G162" s="5" t="n">
        <v>1.0788</v>
      </c>
      <c r="H162" s="2" t="n">
        <f aca="false">D162*F162</f>
        <v>1.78080084648555</v>
      </c>
      <c r="I162" s="2" t="n">
        <f aca="false">IF(G162="","",D162*1000000/Inputs!$B$4^2*Inputs!$B$5/G162)</f>
        <v>1.65674173665628</v>
      </c>
      <c r="J162" s="2" t="n">
        <f aca="false">IF(C162="A",Inputs!$B$7,IF(C162="B",Inputs!$B$8,IF(C162="C",Inputs!$B$9,0)))</f>
        <v>1</v>
      </c>
      <c r="K162" s="2" t="n">
        <f aca="false">IF(AND(E162&lt;&gt;"",G162&lt;&gt;"",J162&gt;0),IF(I162&gt;=Inputs!$B$6,1,0),0)</f>
        <v>0</v>
      </c>
      <c r="L162" s="5" t="n">
        <v>0</v>
      </c>
      <c r="M162" s="5" t="n">
        <v>351.7963</v>
      </c>
      <c r="N162" s="5" t="n">
        <v>1.78</v>
      </c>
      <c r="O162" s="4" t="s">
        <v>64</v>
      </c>
      <c r="P162" s="2" t="n">
        <f aca="false">IF(K162=1,J162/G162^2,0)</f>
        <v>0</v>
      </c>
      <c r="Q162" s="2" t="n">
        <f aca="false">IF(K162=1,((E162-Result!$B$7*D162)/G162)^2,0)</f>
        <v>0</v>
      </c>
    </row>
    <row r="163" customFormat="false" ht="15" hidden="false" customHeight="false" outlineLevel="0" collapsed="false">
      <c r="A163" s="4" t="s">
        <v>40</v>
      </c>
      <c r="B163" s="4" t="s">
        <v>226</v>
      </c>
      <c r="C163" s="4" t="s">
        <v>63</v>
      </c>
      <c r="D163" s="5" t="n">
        <v>391.6774</v>
      </c>
      <c r="E163" s="5" t="n">
        <v>2.27</v>
      </c>
      <c r="F163" s="5" t="n">
        <v>0.00506317449403423</v>
      </c>
      <c r="G163" s="5" t="n">
        <v>1.0788</v>
      </c>
      <c r="H163" s="2" t="n">
        <f aca="false">D163*F163</f>
        <v>1.98313102156964</v>
      </c>
      <c r="I163" s="2" t="n">
        <f aca="false">IF(G163="","",D163*1000000/Inputs!$B$4^2*Inputs!$B$5/G163)</f>
        <v>1.84500479196129</v>
      </c>
      <c r="J163" s="2" t="n">
        <f aca="false">IF(C163="A",Inputs!$B$7,IF(C163="B",Inputs!$B$8,IF(C163="C",Inputs!$B$9,0)))</f>
        <v>1</v>
      </c>
      <c r="K163" s="2" t="n">
        <f aca="false">IF(AND(E163&lt;&gt;"",G163&lt;&gt;"",J163&gt;0),IF(I163&gt;=Inputs!$B$6,1,0),0)</f>
        <v>0</v>
      </c>
      <c r="L163" s="5" t="n">
        <v>0</v>
      </c>
      <c r="M163" s="5" t="n">
        <v>391.7726</v>
      </c>
      <c r="N163" s="5" t="n">
        <v>1.98</v>
      </c>
      <c r="O163" s="4" t="s">
        <v>64</v>
      </c>
      <c r="P163" s="2" t="n">
        <f aca="false">IF(K163=1,J163/G163^2,0)</f>
        <v>0</v>
      </c>
      <c r="Q163" s="2" t="n">
        <f aca="false">IF(K163=1,((E163-Result!$B$7*D163)/G163)^2,0)</f>
        <v>0</v>
      </c>
    </row>
    <row r="164" customFormat="false" ht="15" hidden="false" customHeight="false" outlineLevel="0" collapsed="false">
      <c r="A164" s="4" t="s">
        <v>40</v>
      </c>
      <c r="B164" s="4" t="s">
        <v>227</v>
      </c>
      <c r="C164" s="4" t="s">
        <v>63</v>
      </c>
      <c r="D164" s="5" t="n">
        <v>256.9461</v>
      </c>
      <c r="E164" s="5" t="n">
        <v>-0.45</v>
      </c>
      <c r="F164" s="5" t="n">
        <v>0.00506319065228479</v>
      </c>
      <c r="G164" s="5" t="n">
        <v>1.0788</v>
      </c>
      <c r="H164" s="2" t="n">
        <f aca="false">D164*F164</f>
        <v>1.30096709166103</v>
      </c>
      <c r="I164" s="2" t="n">
        <f aca="false">IF(G164="","",D164*1000000/Inputs!$B$4^2*Inputs!$B$5/G164)</f>
        <v>1.21035011408819</v>
      </c>
      <c r="J164" s="2" t="n">
        <f aca="false">IF(C164="A",Inputs!$B$7,IF(C164="B",Inputs!$B$8,IF(C164="C",Inputs!$B$9,0)))</f>
        <v>1</v>
      </c>
      <c r="K164" s="2" t="n">
        <f aca="false">IF(AND(E164&lt;&gt;"",G164&lt;&gt;"",J164&gt;0),IF(I164&gt;=Inputs!$B$6,1,0),0)</f>
        <v>0</v>
      </c>
      <c r="L164" s="5" t="n">
        <v>0</v>
      </c>
      <c r="M164" s="5" t="n">
        <v>257.0081</v>
      </c>
      <c r="N164" s="5" t="n">
        <v>1.3</v>
      </c>
      <c r="O164" s="4" t="s">
        <v>64</v>
      </c>
      <c r="P164" s="2" t="n">
        <f aca="false">IF(K164=1,J164/G164^2,0)</f>
        <v>0</v>
      </c>
      <c r="Q164" s="2" t="n">
        <f aca="false">IF(K164=1,((E164-Result!$B$7*D164)/G164)^2,0)</f>
        <v>0</v>
      </c>
    </row>
    <row r="165" customFormat="false" ht="15" hidden="false" customHeight="false" outlineLevel="0" collapsed="false">
      <c r="A165" s="4" t="s">
        <v>40</v>
      </c>
      <c r="B165" s="4" t="s">
        <v>228</v>
      </c>
      <c r="C165" s="4" t="s">
        <v>63</v>
      </c>
      <c r="D165" s="5" t="n">
        <v>657.3837</v>
      </c>
      <c r="E165" s="5" t="n">
        <v>3.41</v>
      </c>
      <c r="F165" s="5" t="n">
        <v>0.00506336403190512</v>
      </c>
      <c r="G165" s="5" t="n">
        <v>1.0788</v>
      </c>
      <c r="H165" s="2" t="n">
        <f aca="false">D165*F165</f>
        <v>3.32857298174071</v>
      </c>
      <c r="I165" s="2" t="n">
        <f aca="false">IF(G165="","",D165*1000000/Inputs!$B$4^2*Inputs!$B$5/G165)</f>
        <v>3.09662001600614</v>
      </c>
      <c r="J165" s="2" t="n">
        <f aca="false">IF(C165="A",Inputs!$B$7,IF(C165="B",Inputs!$B$8,IF(C165="C",Inputs!$B$9,0)))</f>
        <v>1</v>
      </c>
      <c r="K165" s="2" t="n">
        <f aca="false">IF(AND(E165&lt;&gt;"",G165&lt;&gt;"",J165&gt;0),IF(I165&gt;=Inputs!$B$6,1,0),0)</f>
        <v>1</v>
      </c>
      <c r="L165" s="5" t="n">
        <v>0</v>
      </c>
      <c r="M165" s="5" t="n">
        <v>657.5407</v>
      </c>
      <c r="N165" s="5" t="n">
        <v>3.33</v>
      </c>
      <c r="O165" s="4" t="s">
        <v>64</v>
      </c>
      <c r="P165" s="2" t="n">
        <f aca="false">IF(K165=1,J165/G165^2,0)</f>
        <v>0.859247197719929</v>
      </c>
      <c r="Q165" s="2" t="n">
        <f aca="false">IF(K165=1,((E165-Result!$B$7*D165)/G165)^2,0)</f>
        <v>0.00662450975193245</v>
      </c>
    </row>
    <row r="166" customFormat="false" ht="15" hidden="false" customHeight="false" outlineLevel="0" collapsed="false">
      <c r="A166" s="4" t="s">
        <v>40</v>
      </c>
      <c r="B166" s="4" t="s">
        <v>229</v>
      </c>
      <c r="C166" s="4" t="s">
        <v>63</v>
      </c>
      <c r="D166" s="5" t="n">
        <v>677.3307</v>
      </c>
      <c r="E166" s="5" t="n">
        <v>4.37</v>
      </c>
      <c r="F166" s="5" t="n">
        <v>0.00506341603622351</v>
      </c>
      <c r="G166" s="5" t="n">
        <v>1.0788</v>
      </c>
      <c r="H166" s="2" t="n">
        <f aca="false">D166*F166</f>
        <v>3.4296071282065</v>
      </c>
      <c r="I166" s="2" t="n">
        <f aca="false">IF(G166="","",D166*1000000/Inputs!$B$4^2*Inputs!$B$5/G166)</f>
        <v>3.19058078725628</v>
      </c>
      <c r="J166" s="2" t="n">
        <f aca="false">IF(C166="A",Inputs!$B$7,IF(C166="B",Inputs!$B$8,IF(C166="C",Inputs!$B$9,0)))</f>
        <v>1</v>
      </c>
      <c r="K166" s="2" t="n">
        <f aca="false">IF(AND(E166&lt;&gt;"",G166&lt;&gt;"",J166&gt;0),IF(I166&gt;=Inputs!$B$6,1,0),0)</f>
        <v>1</v>
      </c>
      <c r="L166" s="5" t="n">
        <v>0</v>
      </c>
      <c r="M166" s="5" t="n">
        <v>677.4931</v>
      </c>
      <c r="N166" s="5" t="n">
        <v>3.43</v>
      </c>
      <c r="O166" s="4" t="s">
        <v>64</v>
      </c>
      <c r="P166" s="2" t="n">
        <f aca="false">IF(K166=1,J166/G166^2,0)</f>
        <v>0.859247197719929</v>
      </c>
      <c r="Q166" s="2" t="n">
        <f aca="false">IF(K166=1,((E166-Result!$B$7*D166)/G166)^2,0)</f>
        <v>0.770579489660527</v>
      </c>
    </row>
    <row r="167" customFormat="false" ht="15" hidden="false" customHeight="false" outlineLevel="0" collapsed="false">
      <c r="A167" s="4" t="s">
        <v>40</v>
      </c>
      <c r="B167" s="4" t="s">
        <v>230</v>
      </c>
      <c r="C167" s="4" t="s">
        <v>63</v>
      </c>
      <c r="D167" s="5" t="n">
        <v>720.0127</v>
      </c>
      <c r="E167" s="5" t="n">
        <v>5.03</v>
      </c>
      <c r="F167" s="5" t="n">
        <v>0.00506325496877827</v>
      </c>
      <c r="G167" s="5" t="n">
        <v>1.0788</v>
      </c>
      <c r="H167" s="2" t="n">
        <f aca="false">D167*F167</f>
        <v>3.64560788085845</v>
      </c>
      <c r="I167" s="2" t="n">
        <f aca="false">IF(G167="","",D167*1000000/Inputs!$B$4^2*Inputs!$B$5/G167)</f>
        <v>3.39163526354338</v>
      </c>
      <c r="J167" s="2" t="n">
        <f aca="false">IF(C167="A",Inputs!$B$7,IF(C167="B",Inputs!$B$8,IF(C167="C",Inputs!$B$9,0)))</f>
        <v>1</v>
      </c>
      <c r="K167" s="2" t="n">
        <f aca="false">IF(AND(E167&lt;&gt;"",G167&lt;&gt;"",J167&gt;0),IF(I167&gt;=Inputs!$B$6,1,0),0)</f>
        <v>1</v>
      </c>
      <c r="L167" s="5" t="n">
        <v>0</v>
      </c>
      <c r="M167" s="5" t="n">
        <v>720.1876</v>
      </c>
      <c r="N167" s="5" t="n">
        <v>3.65</v>
      </c>
      <c r="O167" s="4" t="s">
        <v>64</v>
      </c>
      <c r="P167" s="2" t="n">
        <f aca="false">IF(K167=1,J167/G167^2,0)</f>
        <v>0.859247197719929</v>
      </c>
      <c r="Q167" s="2" t="n">
        <f aca="false">IF(K167=1,((E167-Result!$B$7*D167)/G167)^2,0)</f>
        <v>1.66325562005266</v>
      </c>
    </row>
    <row r="168" customFormat="false" ht="15" hidden="false" customHeight="false" outlineLevel="0" collapsed="false">
      <c r="A168" s="4" t="s">
        <v>40</v>
      </c>
      <c r="B168" s="4" t="s">
        <v>231</v>
      </c>
      <c r="C168" s="4" t="s">
        <v>63</v>
      </c>
      <c r="D168" s="5" t="n">
        <v>466.1473</v>
      </c>
      <c r="E168" s="5" t="n">
        <v>2.68</v>
      </c>
      <c r="F168" s="5" t="n">
        <v>0.00506327545152174</v>
      </c>
      <c r="G168" s="5" t="n">
        <v>1.0788</v>
      </c>
      <c r="H168" s="2" t="n">
        <f aca="false">D168*F168</f>
        <v>2.36023218088314</v>
      </c>
      <c r="I168" s="2" t="n">
        <f aca="false">IF(G168="","",D168*1000000/Inputs!$B$4^2*Inputs!$B$5/G168)</f>
        <v>2.19579685286876</v>
      </c>
      <c r="J168" s="2" t="n">
        <f aca="false">IF(C168="A",Inputs!$B$7,IF(C168="B",Inputs!$B$8,IF(C168="C",Inputs!$B$9,0)))</f>
        <v>1</v>
      </c>
      <c r="K168" s="2" t="n">
        <f aca="false">IF(AND(E168&lt;&gt;"",G168&lt;&gt;"",J168&gt;0),IF(I168&gt;=Inputs!$B$6,1,0),0)</f>
        <v>1</v>
      </c>
      <c r="L168" s="5" t="n">
        <v>0</v>
      </c>
      <c r="M168" s="5" t="n">
        <v>466.2603</v>
      </c>
      <c r="N168" s="5" t="n">
        <v>2.36</v>
      </c>
      <c r="O168" s="4" t="s">
        <v>64</v>
      </c>
      <c r="P168" s="2" t="n">
        <f aca="false">IF(K168=1,J168/G168^2,0)</f>
        <v>0.859247197719929</v>
      </c>
      <c r="Q168" s="2" t="n">
        <f aca="false">IF(K168=1,((E168-Result!$B$7*D168)/G168)^2,0)</f>
        <v>0.090338980762285</v>
      </c>
    </row>
    <row r="169" customFormat="false" ht="15" hidden="false" customHeight="false" outlineLevel="0" collapsed="false">
      <c r="A169" s="4" t="s">
        <v>40</v>
      </c>
      <c r="B169" s="4" t="s">
        <v>232</v>
      </c>
      <c r="C169" s="4" t="s">
        <v>63</v>
      </c>
      <c r="D169" s="5" t="n">
        <v>562.8143</v>
      </c>
      <c r="E169" s="5" t="n">
        <v>3.11</v>
      </c>
      <c r="F169" s="5" t="n">
        <v>0.00506348097975162</v>
      </c>
      <c r="G169" s="5" t="n">
        <v>1.0788</v>
      </c>
      <c r="H169" s="2" t="n">
        <f aca="false">D169*F169</f>
        <v>2.84979950318222</v>
      </c>
      <c r="I169" s="2" t="n">
        <f aca="false">IF(G169="","",D169*1000000/Inputs!$B$4^2*Inputs!$B$5/G169)</f>
        <v>2.65114882932827</v>
      </c>
      <c r="J169" s="2" t="n">
        <f aca="false">IF(C169="A",Inputs!$B$7,IF(C169="B",Inputs!$B$8,IF(C169="C",Inputs!$B$9,0)))</f>
        <v>1</v>
      </c>
      <c r="K169" s="2" t="n">
        <f aca="false">IF(AND(E169&lt;&gt;"",G169&lt;&gt;"",J169&gt;0),IF(I169&gt;=Inputs!$B$6,1,0),0)</f>
        <v>1</v>
      </c>
      <c r="L169" s="5" t="n">
        <v>0</v>
      </c>
      <c r="M169" s="5" t="n">
        <v>562.9499</v>
      </c>
      <c r="N169" s="5" t="n">
        <v>2.85</v>
      </c>
      <c r="O169" s="4" t="s">
        <v>64</v>
      </c>
      <c r="P169" s="2" t="n">
        <f aca="false">IF(K169=1,J169/G169^2,0)</f>
        <v>0.859247197719929</v>
      </c>
      <c r="Q169" s="2" t="n">
        <f aca="false">IF(K169=1,((E169-Result!$B$7*D169)/G169)^2,0)</f>
        <v>0.0606719508926573</v>
      </c>
    </row>
    <row r="170" customFormat="false" ht="15" hidden="false" customHeight="false" outlineLevel="0" collapsed="false">
      <c r="A170" s="4" t="s">
        <v>40</v>
      </c>
      <c r="B170" s="4" t="s">
        <v>233</v>
      </c>
      <c r="C170" s="4" t="s">
        <v>63</v>
      </c>
      <c r="D170" s="5" t="n">
        <v>484.3638</v>
      </c>
      <c r="E170" s="5" t="n">
        <v>0.64</v>
      </c>
      <c r="F170" s="5" t="n">
        <v>0.00506341509015518</v>
      </c>
      <c r="G170" s="5" t="n">
        <v>1.0788</v>
      </c>
      <c r="H170" s="2" t="n">
        <f aca="false">D170*F170</f>
        <v>2.45253497404491</v>
      </c>
      <c r="I170" s="2" t="n">
        <f aca="false">IF(G170="","",D170*1000000/Inputs!$B$4^2*Inputs!$B$5/G170)</f>
        <v>2.28160606675948</v>
      </c>
      <c r="J170" s="2" t="n">
        <f aca="false">IF(C170="A",Inputs!$B$7,IF(C170="B",Inputs!$B$8,IF(C170="C",Inputs!$B$9,0)))</f>
        <v>1</v>
      </c>
      <c r="K170" s="2" t="n">
        <f aca="false">IF(AND(E170&lt;&gt;"",G170&lt;&gt;"",J170&gt;0),IF(I170&gt;=Inputs!$B$6,1,0),0)</f>
        <v>1</v>
      </c>
      <c r="L170" s="5" t="n">
        <v>0</v>
      </c>
      <c r="M170" s="5" t="n">
        <v>484.4811</v>
      </c>
      <c r="N170" s="5" t="n">
        <v>2.45</v>
      </c>
      <c r="O170" s="4" t="s">
        <v>64</v>
      </c>
      <c r="P170" s="2" t="n">
        <f aca="false">IF(K170=1,J170/G170^2,0)</f>
        <v>0.859247197719929</v>
      </c>
      <c r="Q170" s="2" t="n">
        <f aca="false">IF(K170=1,((E170-Result!$B$7*D170)/G170)^2,0)</f>
        <v>2.80817542564047</v>
      </c>
    </row>
    <row r="171" customFormat="false" ht="15" hidden="false" customHeight="false" outlineLevel="0" collapsed="false">
      <c r="A171" s="4" t="s">
        <v>40</v>
      </c>
      <c r="B171" s="4" t="s">
        <v>234</v>
      </c>
      <c r="C171" s="4" t="s">
        <v>63</v>
      </c>
      <c r="D171" s="5" t="n">
        <v>568.4555</v>
      </c>
      <c r="E171" s="5" t="n">
        <v>4.58</v>
      </c>
      <c r="F171" s="5" t="n">
        <v>0.00506346880726845</v>
      </c>
      <c r="G171" s="5" t="n">
        <v>1.0788</v>
      </c>
      <c r="H171" s="2" t="n">
        <f aca="false">D171*F171</f>
        <v>2.87835669257019</v>
      </c>
      <c r="I171" s="2" t="n">
        <f aca="false">IF(G171="","",D171*1000000/Inputs!$B$4^2*Inputs!$B$5/G171)</f>
        <v>2.67772182290005</v>
      </c>
      <c r="J171" s="2" t="n">
        <f aca="false">IF(C171="A",Inputs!$B$7,IF(C171="B",Inputs!$B$8,IF(C171="C",Inputs!$B$9,0)))</f>
        <v>1</v>
      </c>
      <c r="K171" s="2" t="n">
        <f aca="false">IF(AND(E171&lt;&gt;"",G171&lt;&gt;"",J171&gt;0),IF(I171&gt;=Inputs!$B$6,1,0),0)</f>
        <v>1</v>
      </c>
      <c r="L171" s="5" t="n">
        <v>0</v>
      </c>
      <c r="M171" s="5" t="n">
        <v>568.5942</v>
      </c>
      <c r="N171" s="5" t="n">
        <v>2.87</v>
      </c>
      <c r="O171" s="4" t="s">
        <v>64</v>
      </c>
      <c r="P171" s="2" t="n">
        <f aca="false">IF(K171=1,J171/G171^2,0)</f>
        <v>0.859247197719929</v>
      </c>
      <c r="Q171" s="2" t="n">
        <f aca="false">IF(K171=1,((E171-Result!$B$7*D171)/G171)^2,0)</f>
        <v>2.50435556908136</v>
      </c>
    </row>
    <row r="172" customFormat="false" ht="15" hidden="false" customHeight="false" outlineLevel="0" collapsed="false">
      <c r="A172" s="4" t="s">
        <v>40</v>
      </c>
      <c r="B172" s="4" t="s">
        <v>235</v>
      </c>
      <c r="C172" s="4" t="s">
        <v>63</v>
      </c>
      <c r="D172" s="5" t="n">
        <v>983.8756</v>
      </c>
      <c r="E172" s="5" t="n">
        <v>3.51</v>
      </c>
      <c r="F172" s="5" t="n">
        <v>0.00506366413551249</v>
      </c>
      <c r="G172" s="5" t="n">
        <v>1.0788</v>
      </c>
      <c r="H172" s="2" t="n">
        <f aca="false">D172*F172</f>
        <v>4.98201558952583</v>
      </c>
      <c r="I172" s="2" t="n">
        <f aca="false">IF(G172="","",D172*1000000/Inputs!$B$4^2*Inputs!$B$5/G172)</f>
        <v>4.63456711235774</v>
      </c>
      <c r="J172" s="2" t="n">
        <f aca="false">IF(C172="A",Inputs!$B$7,IF(C172="B",Inputs!$B$8,IF(C172="C",Inputs!$B$9,0)))</f>
        <v>1</v>
      </c>
      <c r="K172" s="2" t="n">
        <f aca="false">IF(AND(E172&lt;&gt;"",G172&lt;&gt;"",J172&gt;0),IF(I172&gt;=Inputs!$B$6,1,0),0)</f>
        <v>1</v>
      </c>
      <c r="L172" s="5" t="n">
        <v>0</v>
      </c>
      <c r="M172" s="5" t="n">
        <v>984.1162</v>
      </c>
      <c r="N172" s="5" t="n">
        <v>4.98</v>
      </c>
      <c r="O172" s="4" t="s">
        <v>64</v>
      </c>
      <c r="P172" s="2" t="n">
        <f aca="false">IF(K172=1,J172/G172^2,0)</f>
        <v>0.859247197719929</v>
      </c>
      <c r="Q172" s="2" t="n">
        <f aca="false">IF(K172=1,((E172-Result!$B$7*D172)/G172)^2,0)</f>
        <v>1.83703280046409</v>
      </c>
    </row>
    <row r="173" customFormat="false" ht="15" hidden="false" customHeight="false" outlineLevel="0" collapsed="false">
      <c r="A173" s="4" t="s">
        <v>40</v>
      </c>
      <c r="B173" s="4" t="s">
        <v>236</v>
      </c>
      <c r="C173" s="4" t="s">
        <v>63</v>
      </c>
      <c r="D173" s="5" t="n">
        <v>501.5139</v>
      </c>
      <c r="E173" s="5" t="n">
        <v>3.15</v>
      </c>
      <c r="F173" s="5" t="n">
        <v>0.00506361384311236</v>
      </c>
      <c r="G173" s="5" t="n">
        <v>1.0788</v>
      </c>
      <c r="H173" s="2" t="n">
        <f aca="false">D173*F173</f>
        <v>2.53947272655327</v>
      </c>
      <c r="I173" s="2" t="n">
        <f aca="false">IF(G173="","",D173*1000000/Inputs!$B$4^2*Inputs!$B$5/G173)</f>
        <v>2.36239198058197</v>
      </c>
      <c r="J173" s="2" t="n">
        <f aca="false">IF(C173="A",Inputs!$B$7,IF(C173="B",Inputs!$B$8,IF(C173="C",Inputs!$B$9,0)))</f>
        <v>1</v>
      </c>
      <c r="K173" s="2" t="n">
        <f aca="false">IF(AND(E173&lt;&gt;"",G173&lt;&gt;"",J173&gt;0),IF(I173&gt;=Inputs!$B$6,1,0),0)</f>
        <v>1</v>
      </c>
      <c r="L173" s="5" t="n">
        <v>0</v>
      </c>
      <c r="M173" s="5" t="n">
        <v>501.6344</v>
      </c>
      <c r="N173" s="5" t="n">
        <v>2.54</v>
      </c>
      <c r="O173" s="4" t="s">
        <v>64</v>
      </c>
      <c r="P173" s="2" t="n">
        <f aca="false">IF(K173=1,J173/G173^2,0)</f>
        <v>0.859247197719929</v>
      </c>
      <c r="Q173" s="2" t="n">
        <f aca="false">IF(K173=1,((E173-Result!$B$7*D173)/G173)^2,0)</f>
        <v>0.325536523769015</v>
      </c>
    </row>
    <row r="174" customFormat="false" ht="15" hidden="false" customHeight="false" outlineLevel="0" collapsed="false">
      <c r="A174" s="4" t="s">
        <v>40</v>
      </c>
      <c r="B174" s="4" t="s">
        <v>237</v>
      </c>
      <c r="C174" s="4" t="s">
        <v>63</v>
      </c>
      <c r="D174" s="5" t="n">
        <v>244.6843</v>
      </c>
      <c r="E174" s="5" t="n">
        <v>3.64</v>
      </c>
      <c r="F174" s="5" t="n">
        <v>0.00506372151065556</v>
      </c>
      <c r="G174" s="5" t="n">
        <v>1.0788</v>
      </c>
      <c r="H174" s="2" t="n">
        <f aca="false">D174*F174</f>
        <v>1.2390131532297</v>
      </c>
      <c r="I174" s="2" t="n">
        <f aca="false">IF(G174="","",D174*1000000/Inputs!$B$4^2*Inputs!$B$5/G174)</f>
        <v>1.15259064224204</v>
      </c>
      <c r="J174" s="2" t="n">
        <f aca="false">IF(C174="A",Inputs!$B$7,IF(C174="B",Inputs!$B$8,IF(C174="C",Inputs!$B$9,0)))</f>
        <v>1</v>
      </c>
      <c r="K174" s="2" t="n">
        <f aca="false">IF(AND(E174&lt;&gt;"",G174&lt;&gt;"",J174&gt;0),IF(I174&gt;=Inputs!$B$6,1,0),0)</f>
        <v>0</v>
      </c>
      <c r="L174" s="5" t="n">
        <v>0</v>
      </c>
      <c r="M174" s="5" t="n">
        <v>244.7432</v>
      </c>
      <c r="N174" s="5" t="n">
        <v>1.24</v>
      </c>
      <c r="O174" s="4" t="s">
        <v>64</v>
      </c>
      <c r="P174" s="2" t="n">
        <f aca="false">IF(K174=1,J174/G174^2,0)</f>
        <v>0</v>
      </c>
      <c r="Q174" s="2" t="n">
        <f aca="false">IF(K174=1,((E174-Result!$B$7*D174)/G174)^2,0)</f>
        <v>0</v>
      </c>
    </row>
    <row r="175" customFormat="false" ht="15" hidden="false" customHeight="false" outlineLevel="0" collapsed="false">
      <c r="A175" s="4" t="s">
        <v>40</v>
      </c>
      <c r="B175" s="4" t="s">
        <v>238</v>
      </c>
      <c r="C175" s="4" t="s">
        <v>63</v>
      </c>
      <c r="D175" s="5" t="n">
        <v>355.9425</v>
      </c>
      <c r="E175" s="5" t="n">
        <v>1.86</v>
      </c>
      <c r="F175" s="5" t="n">
        <v>0.00506389601156318</v>
      </c>
      <c r="G175" s="5" t="n">
        <v>1.0788</v>
      </c>
      <c r="H175" s="2" t="n">
        <f aca="false">D175*F175</f>
        <v>1.80245580609583</v>
      </c>
      <c r="I175" s="2" t="n">
        <f aca="false">IF(G175="","",D175*1000000/Inputs!$B$4^2*Inputs!$B$5/G175)</f>
        <v>1.67667477920013</v>
      </c>
      <c r="J175" s="2" t="n">
        <f aca="false">IF(C175="A",Inputs!$B$7,IF(C175="B",Inputs!$B$8,IF(C175="C",Inputs!$B$9,0)))</f>
        <v>1</v>
      </c>
      <c r="K175" s="2" t="n">
        <f aca="false">IF(AND(E175&lt;&gt;"",G175&lt;&gt;"",J175&gt;0),IF(I175&gt;=Inputs!$B$6,1,0),0)</f>
        <v>0</v>
      </c>
      <c r="L175" s="5" t="n">
        <v>0</v>
      </c>
      <c r="M175" s="5" t="n">
        <v>356.0276</v>
      </c>
      <c r="N175" s="5" t="n">
        <v>1.8</v>
      </c>
      <c r="O175" s="4" t="s">
        <v>64</v>
      </c>
      <c r="P175" s="2" t="n">
        <f aca="false">IF(K175=1,J175/G175^2,0)</f>
        <v>0</v>
      </c>
      <c r="Q175" s="2" t="n">
        <f aca="false">IF(K175=1,((E175-Result!$B$7*D175)/G175)^2,0)</f>
        <v>0</v>
      </c>
    </row>
    <row r="176" customFormat="false" ht="15" hidden="false" customHeight="false" outlineLevel="0" collapsed="false">
      <c r="A176" s="4" t="s">
        <v>40</v>
      </c>
      <c r="B176" s="4" t="s">
        <v>239</v>
      </c>
      <c r="C176" s="4" t="s">
        <v>63</v>
      </c>
      <c r="D176" s="5" t="n">
        <v>1006.9599</v>
      </c>
      <c r="E176" s="5" t="n">
        <v>3.12</v>
      </c>
      <c r="F176" s="5" t="n">
        <v>0.00506402287536368</v>
      </c>
      <c r="G176" s="5" t="n">
        <v>1.0788</v>
      </c>
      <c r="H176" s="2" t="n">
        <f aca="false">D176*F176</f>
        <v>5.09926796817393</v>
      </c>
      <c r="I176" s="2" t="n">
        <f aca="false">IF(G176="","",D176*1000000/Inputs!$B$4^2*Inputs!$B$5/G176)</f>
        <v>4.7433062025352</v>
      </c>
      <c r="J176" s="2" t="n">
        <f aca="false">IF(C176="A",Inputs!$B$7,IF(C176="B",Inputs!$B$8,IF(C176="C",Inputs!$B$9,0)))</f>
        <v>1</v>
      </c>
      <c r="K176" s="2" t="n">
        <f aca="false">IF(AND(E176&lt;&gt;"",G176&lt;&gt;"",J176&gt;0),IF(I176&gt;=Inputs!$B$6,1,0),0)</f>
        <v>1</v>
      </c>
      <c r="L176" s="5" t="n">
        <v>0</v>
      </c>
      <c r="M176" s="5" t="n">
        <v>1007.2054</v>
      </c>
      <c r="N176" s="5" t="n">
        <v>5.1</v>
      </c>
      <c r="O176" s="4" t="s">
        <v>64</v>
      </c>
      <c r="P176" s="2" t="n">
        <f aca="false">IF(K176=1,J176/G176^2,0)</f>
        <v>0.859247197719929</v>
      </c>
      <c r="Q176" s="2" t="n">
        <f aca="false">IF(K176=1,((E176-Result!$B$7*D176)/G176)^2,0)</f>
        <v>3.33071090624368</v>
      </c>
    </row>
    <row r="177" customFormat="false" ht="15" hidden="false" customHeight="false" outlineLevel="0" collapsed="false">
      <c r="A177" s="4" t="s">
        <v>40</v>
      </c>
      <c r="B177" s="4" t="s">
        <v>240</v>
      </c>
      <c r="C177" s="4" t="s">
        <v>63</v>
      </c>
      <c r="D177" s="5" t="n">
        <v>1551.5866</v>
      </c>
      <c r="E177" s="5" t="n">
        <v>6.97</v>
      </c>
      <c r="F177" s="5" t="n">
        <v>0.00506388877487068</v>
      </c>
      <c r="G177" s="5" t="n">
        <v>1.0788</v>
      </c>
      <c r="H177" s="2" t="n">
        <f aca="false">D177*F177</f>
        <v>7.85706196697976</v>
      </c>
      <c r="I177" s="2" t="n">
        <f aca="false">IF(G177="","",D177*1000000/Inputs!$B$4^2*Inputs!$B$5/G177)</f>
        <v>7.30878195204249</v>
      </c>
      <c r="J177" s="2" t="n">
        <f aca="false">IF(C177="A",Inputs!$B$7,IF(C177="B",Inputs!$B$8,IF(C177="C",Inputs!$B$9,0)))</f>
        <v>1</v>
      </c>
      <c r="K177" s="2" t="n">
        <f aca="false">IF(AND(E177&lt;&gt;"",G177&lt;&gt;"",J177&gt;0),IF(I177&gt;=Inputs!$B$6,1,0),0)</f>
        <v>1</v>
      </c>
      <c r="L177" s="5" t="n">
        <v>0</v>
      </c>
      <c r="M177" s="5" t="n">
        <v>1551.9695</v>
      </c>
      <c r="N177" s="5" t="n">
        <v>7.86</v>
      </c>
      <c r="O177" s="4" t="s">
        <v>64</v>
      </c>
      <c r="P177" s="2" t="n">
        <f aca="false">IF(K177=1,J177/G177^2,0)</f>
        <v>0.859247197719929</v>
      </c>
      <c r="Q177" s="2" t="n">
        <f aca="false">IF(K177=1,((E177-Result!$B$7*D177)/G177)^2,0)</f>
        <v>0.652151867885188</v>
      </c>
    </row>
    <row r="178" customFormat="false" ht="15" hidden="false" customHeight="false" outlineLevel="0" collapsed="false">
      <c r="A178" s="4" t="s">
        <v>40</v>
      </c>
      <c r="B178" s="4" t="s">
        <v>241</v>
      </c>
      <c r="C178" s="4" t="s">
        <v>63</v>
      </c>
      <c r="D178" s="5" t="n">
        <v>1623.6589</v>
      </c>
      <c r="E178" s="5" t="n">
        <v>8.63</v>
      </c>
      <c r="F178" s="5" t="n">
        <v>0.00506405659587089</v>
      </c>
      <c r="G178" s="5" t="n">
        <v>1.0788</v>
      </c>
      <c r="H178" s="2" t="n">
        <f aca="false">D178*F178</f>
        <v>8.22230056198947</v>
      </c>
      <c r="I178" s="2" t="n">
        <f aca="false">IF(G178="","",D178*1000000/Inputs!$B$4^2*Inputs!$B$5/G178)</f>
        <v>7.64828006673501</v>
      </c>
      <c r="J178" s="2" t="n">
        <f aca="false">IF(C178="A",Inputs!$B$7,IF(C178="B",Inputs!$B$8,IF(C178="C",Inputs!$B$9,0)))</f>
        <v>1</v>
      </c>
      <c r="K178" s="2" t="n">
        <f aca="false">IF(AND(E178&lt;&gt;"",G178&lt;&gt;"",J178&gt;0),IF(I178&gt;=Inputs!$B$6,1,0),0)</f>
        <v>1</v>
      </c>
      <c r="L178" s="5" t="n">
        <v>0</v>
      </c>
      <c r="M178" s="5" t="n">
        <v>1624.0591</v>
      </c>
      <c r="N178" s="5" t="n">
        <v>8.22</v>
      </c>
      <c r="O178" s="4" t="s">
        <v>64</v>
      </c>
      <c r="P178" s="2" t="n">
        <f aca="false">IF(K178=1,J178/G178^2,0)</f>
        <v>0.859247197719929</v>
      </c>
      <c r="Q178" s="2" t="n">
        <f aca="false">IF(K178=1,((E178-Result!$B$7*D178)/G178)^2,0)</f>
        <v>0.154892049038299</v>
      </c>
    </row>
    <row r="179" customFormat="false" ht="15" hidden="false" customHeight="false" outlineLevel="0" collapsed="false">
      <c r="A179" s="4" t="s">
        <v>40</v>
      </c>
      <c r="B179" s="4" t="s">
        <v>242</v>
      </c>
      <c r="C179" s="4" t="s">
        <v>63</v>
      </c>
      <c r="D179" s="5" t="n">
        <v>882.6225</v>
      </c>
      <c r="E179" s="5" t="n">
        <v>5.05</v>
      </c>
      <c r="F179" s="5" t="n">
        <v>0.00506387622868977</v>
      </c>
      <c r="G179" s="5" t="n">
        <v>1.0788</v>
      </c>
      <c r="H179" s="2" t="n">
        <f aca="false">D179*F179</f>
        <v>4.46949109665674</v>
      </c>
      <c r="I179" s="2" t="n">
        <f aca="false">IF(G179="","",D179*1000000/Inputs!$B$4^2*Inputs!$B$5/G179)</f>
        <v>4.15761221350237</v>
      </c>
      <c r="J179" s="2" t="n">
        <f aca="false">IF(C179="A",Inputs!$B$7,IF(C179="B",Inputs!$B$8,IF(C179="C",Inputs!$B$9,0)))</f>
        <v>1</v>
      </c>
      <c r="K179" s="2" t="n">
        <f aca="false">IF(AND(E179&lt;&gt;"",G179&lt;&gt;"",J179&gt;0),IF(I179&gt;=Inputs!$B$6,1,0),0)</f>
        <v>1</v>
      </c>
      <c r="L179" s="5" t="n">
        <v>0</v>
      </c>
      <c r="M179" s="5" t="n">
        <v>882.8366</v>
      </c>
      <c r="N179" s="5" t="n">
        <v>4.47</v>
      </c>
      <c r="O179" s="4" t="s">
        <v>64</v>
      </c>
      <c r="P179" s="2" t="n">
        <f aca="false">IF(K179=1,J179/G179^2,0)</f>
        <v>0.859247197719929</v>
      </c>
      <c r="Q179" s="2" t="n">
        <f aca="false">IF(K179=1,((E179-Result!$B$7*D179)/G179)^2,0)</f>
        <v>0.298621373872131</v>
      </c>
    </row>
    <row r="180" customFormat="false" ht="15" hidden="false" customHeight="false" outlineLevel="0" collapsed="false">
      <c r="A180" s="4" t="s">
        <v>40</v>
      </c>
      <c r="B180" s="4" t="s">
        <v>243</v>
      </c>
      <c r="C180" s="4" t="s">
        <v>63</v>
      </c>
      <c r="D180" s="5" t="n">
        <v>1148.0769</v>
      </c>
      <c r="E180" s="5" t="n">
        <v>3.95</v>
      </c>
      <c r="F180" s="5" t="n">
        <v>0.00506394400577948</v>
      </c>
      <c r="G180" s="5" t="n">
        <v>1.0788</v>
      </c>
      <c r="H180" s="2" t="n">
        <f aca="false">D180*F180</f>
        <v>5.81379713592889</v>
      </c>
      <c r="I180" s="2" t="n">
        <f aca="false">IF(G180="","",D180*1000000/Inputs!$B$4^2*Inputs!$B$5/G180)</f>
        <v>5.40804085719539</v>
      </c>
      <c r="J180" s="2" t="n">
        <f aca="false">IF(C180="A",Inputs!$B$7,IF(C180="B",Inputs!$B$8,IF(C180="C",Inputs!$B$9,0)))</f>
        <v>1</v>
      </c>
      <c r="K180" s="2" t="n">
        <f aca="false">IF(AND(E180&lt;&gt;"",G180&lt;&gt;"",J180&gt;0),IF(I180&gt;=Inputs!$B$6,1,0),0)</f>
        <v>1</v>
      </c>
      <c r="L180" s="5" t="n">
        <v>0</v>
      </c>
      <c r="M180" s="5" t="n">
        <v>1148.3564</v>
      </c>
      <c r="N180" s="5" t="n">
        <v>5.82</v>
      </c>
      <c r="O180" s="4" t="s">
        <v>64</v>
      </c>
      <c r="P180" s="2" t="n">
        <f aca="false">IF(K180=1,J180/G180^2,0)</f>
        <v>0.859247197719929</v>
      </c>
      <c r="Q180" s="2" t="n">
        <f aca="false">IF(K180=1,((E180-Result!$B$7*D180)/G180)^2,0)</f>
        <v>2.94711333865713</v>
      </c>
    </row>
    <row r="181" customFormat="false" ht="15" hidden="false" customHeight="false" outlineLevel="0" collapsed="false">
      <c r="A181" s="4" t="s">
        <v>40</v>
      </c>
      <c r="B181" s="4" t="s">
        <v>244</v>
      </c>
      <c r="C181" s="4" t="s">
        <v>63</v>
      </c>
      <c r="D181" s="5" t="n">
        <v>1200.8439</v>
      </c>
      <c r="E181" s="5" t="n">
        <v>6.12</v>
      </c>
      <c r="F181" s="5" t="n">
        <v>0.00506363606330131</v>
      </c>
      <c r="G181" s="5" t="n">
        <v>1.0788</v>
      </c>
      <c r="H181" s="2" t="n">
        <f aca="false">D181*F181</f>
        <v>6.0806364784354</v>
      </c>
      <c r="I181" s="2" t="n">
        <f aca="false">IF(G181="","",D181*1000000/Inputs!$B$4^2*Inputs!$B$5/G181)</f>
        <v>5.6566009422486</v>
      </c>
      <c r="J181" s="2" t="n">
        <f aca="false">IF(C181="A",Inputs!$B$7,IF(C181="B",Inputs!$B$8,IF(C181="C",Inputs!$B$9,0)))</f>
        <v>1</v>
      </c>
      <c r="K181" s="2" t="n">
        <f aca="false">IF(AND(E181&lt;&gt;"",G181&lt;&gt;"",J181&gt;0),IF(I181&gt;=Inputs!$B$6,1,0),0)</f>
        <v>1</v>
      </c>
      <c r="L181" s="5" t="n">
        <v>0</v>
      </c>
      <c r="M181" s="5" t="n">
        <v>1201.137</v>
      </c>
      <c r="N181" s="5" t="n">
        <v>6.08</v>
      </c>
      <c r="O181" s="4" t="s">
        <v>64</v>
      </c>
      <c r="P181" s="2" t="n">
        <f aca="false">IF(K181=1,J181/G181^2,0)</f>
        <v>0.859247197719929</v>
      </c>
      <c r="Q181" s="2" t="n">
        <f aca="false">IF(K181=1,((E181-Result!$B$7*D181)/G181)^2,0)</f>
        <v>0.00226482890012689</v>
      </c>
    </row>
    <row r="182" customFormat="false" ht="15" hidden="false" customHeight="false" outlineLevel="0" collapsed="false">
      <c r="A182" s="4" t="s">
        <v>40</v>
      </c>
      <c r="B182" s="4" t="s">
        <v>245</v>
      </c>
      <c r="C182" s="4" t="s">
        <v>63</v>
      </c>
      <c r="D182" s="5" t="n">
        <v>1822.301</v>
      </c>
      <c r="E182" s="5" t="n">
        <v>8.04</v>
      </c>
      <c r="F182" s="5" t="n">
        <v>0.00506341273062912</v>
      </c>
      <c r="G182" s="5" t="n">
        <v>1.0788</v>
      </c>
      <c r="H182" s="2" t="n">
        <f aca="false">D182*F182</f>
        <v>9.22706208243818</v>
      </c>
      <c r="I182" s="2" t="n">
        <f aca="false">IF(G182="","",D182*1000000/Inputs!$B$4^2*Inputs!$B$5/G182)</f>
        <v>8.58398793853271</v>
      </c>
      <c r="J182" s="2" t="n">
        <f aca="false">IF(C182="A",Inputs!$B$7,IF(C182="B",Inputs!$B$8,IF(C182="C",Inputs!$B$9,0)))</f>
        <v>1</v>
      </c>
      <c r="K182" s="2" t="n">
        <f aca="false">IF(AND(E182&lt;&gt;"",G182&lt;&gt;"",J182&gt;0),IF(I182&gt;=Inputs!$B$6,1,0),0)</f>
        <v>1</v>
      </c>
      <c r="L182" s="5" t="n">
        <v>0</v>
      </c>
      <c r="M182" s="5" t="n">
        <v>1822.7623</v>
      </c>
      <c r="N182" s="5" t="n">
        <v>9.23</v>
      </c>
      <c r="O182" s="4" t="s">
        <v>64</v>
      </c>
      <c r="P182" s="2" t="n">
        <f aca="false">IF(K182=1,J182/G182^2,0)</f>
        <v>0.859247197719929</v>
      </c>
      <c r="Q182" s="2" t="n">
        <f aca="false">IF(K182=1,((E182-Result!$B$7*D182)/G182)^2,0)</f>
        <v>1.17480451724968</v>
      </c>
    </row>
    <row r="183" customFormat="false" ht="15" hidden="false" customHeight="false" outlineLevel="0" collapsed="false">
      <c r="A183" s="4" t="s">
        <v>40</v>
      </c>
      <c r="B183" s="4" t="s">
        <v>246</v>
      </c>
      <c r="C183" s="4" t="s">
        <v>63</v>
      </c>
      <c r="D183" s="5" t="n">
        <v>2599.3865</v>
      </c>
      <c r="E183" s="5" t="n">
        <v>10.79</v>
      </c>
      <c r="F183" s="5" t="n">
        <v>0.00506348015697928</v>
      </c>
      <c r="G183" s="5" t="n">
        <v>1.0788</v>
      </c>
      <c r="H183" s="2" t="n">
        <f aca="false">D183*F183</f>
        <v>13.1619419630698</v>
      </c>
      <c r="I183" s="2" t="n">
        <f aca="false">IF(G183="","",D183*1000000/Inputs!$B$4^2*Inputs!$B$5/G183)</f>
        <v>12.2444658503643</v>
      </c>
      <c r="J183" s="2" t="n">
        <f aca="false">IF(C183="A",Inputs!$B$7,IF(C183="B",Inputs!$B$8,IF(C183="C",Inputs!$B$9,0)))</f>
        <v>1</v>
      </c>
      <c r="K183" s="2" t="n">
        <f aca="false">IF(AND(E183&lt;&gt;"",G183&lt;&gt;"",J183&gt;0),IF(I183&gt;=Inputs!$B$6,1,0),0)</f>
        <v>1</v>
      </c>
      <c r="L183" s="5" t="n">
        <v>0</v>
      </c>
      <c r="M183" s="5" t="n">
        <v>2600.0571</v>
      </c>
      <c r="N183" s="5" t="n">
        <v>13.17</v>
      </c>
      <c r="O183" s="4" t="s">
        <v>64</v>
      </c>
      <c r="P183" s="2" t="n">
        <f aca="false">IF(K183=1,J183/G183^2,0)</f>
        <v>0.859247197719929</v>
      </c>
      <c r="Q183" s="2" t="n">
        <f aca="false">IF(K183=1,((E183-Result!$B$7*D183)/G183)^2,0)</f>
        <v>4.73075335686792</v>
      </c>
    </row>
    <row r="184" customFormat="false" ht="15" hidden="false" customHeight="false" outlineLevel="0" collapsed="false">
      <c r="A184" s="4" t="s">
        <v>40</v>
      </c>
      <c r="B184" s="4" t="s">
        <v>247</v>
      </c>
      <c r="C184" s="4" t="s">
        <v>63</v>
      </c>
      <c r="D184" s="5" t="n">
        <v>2464.2971</v>
      </c>
      <c r="E184" s="5" t="n">
        <v>13.43</v>
      </c>
      <c r="F184" s="5" t="n">
        <v>0.00506298383599944</v>
      </c>
      <c r="G184" s="5" t="n">
        <v>1.0788</v>
      </c>
      <c r="H184" s="2" t="n">
        <f aca="false">D184*F184</f>
        <v>12.4766963844003</v>
      </c>
      <c r="I184" s="2" t="n">
        <f aca="false">IF(G184="","",D184*1000000/Inputs!$B$4^2*Inputs!$B$5/G184)</f>
        <v>11.608124334762</v>
      </c>
      <c r="J184" s="2" t="n">
        <f aca="false">IF(C184="A",Inputs!$B$7,IF(C184="B",Inputs!$B$8,IF(C184="C",Inputs!$B$9,0)))</f>
        <v>1</v>
      </c>
      <c r="K184" s="2" t="n">
        <f aca="false">IF(AND(E184&lt;&gt;"",G184&lt;&gt;"",J184&gt;0),IF(I184&gt;=Inputs!$B$6,1,0),0)</f>
        <v>1</v>
      </c>
      <c r="L184" s="5" t="n">
        <v>0</v>
      </c>
      <c r="M184" s="5" t="n">
        <v>2464.9335</v>
      </c>
      <c r="N184" s="5" t="n">
        <v>12.48</v>
      </c>
      <c r="O184" s="4" t="s">
        <v>64</v>
      </c>
      <c r="P184" s="2" t="n">
        <f aca="false">IF(K184=1,J184/G184^2,0)</f>
        <v>0.859247197719929</v>
      </c>
      <c r="Q184" s="2" t="n">
        <f aca="false">IF(K184=1,((E184-Result!$B$7*D184)/G184)^2,0)</f>
        <v>0.818958543858721</v>
      </c>
    </row>
    <row r="185" customFormat="false" ht="15" hidden="false" customHeight="false" outlineLevel="0" collapsed="false">
      <c r="A185" s="4" t="s">
        <v>40</v>
      </c>
      <c r="B185" s="4" t="s">
        <v>248</v>
      </c>
      <c r="C185" s="4" t="s">
        <v>63</v>
      </c>
      <c r="D185" s="5" t="n">
        <v>1340.5394</v>
      </c>
      <c r="E185" s="5" t="n">
        <v>7.22</v>
      </c>
      <c r="F185" s="5" t="n">
        <v>0.00506311302154635</v>
      </c>
      <c r="G185" s="5" t="n">
        <v>1.0788</v>
      </c>
      <c r="H185" s="2" t="n">
        <f aca="false">D185*F185</f>
        <v>6.78730249203592</v>
      </c>
      <c r="I185" s="2" t="n">
        <f aca="false">IF(G185="","",D185*1000000/Inputs!$B$4^2*Inputs!$B$5/G185)</f>
        <v>6.31463959067567</v>
      </c>
      <c r="J185" s="2" t="n">
        <f aca="false">IF(C185="A",Inputs!$B$7,IF(C185="B",Inputs!$B$8,IF(C185="C",Inputs!$B$9,0)))</f>
        <v>1</v>
      </c>
      <c r="K185" s="2" t="n">
        <f aca="false">IF(AND(E185&lt;&gt;"",G185&lt;&gt;"",J185&gt;0),IF(I185&gt;=Inputs!$B$6,1,0),0)</f>
        <v>1</v>
      </c>
      <c r="L185" s="5" t="n">
        <v>0</v>
      </c>
      <c r="M185" s="5" t="n">
        <v>1340.8688</v>
      </c>
      <c r="N185" s="5" t="n">
        <v>6.78</v>
      </c>
      <c r="O185" s="4" t="s">
        <v>64</v>
      </c>
      <c r="P185" s="2" t="n">
        <f aca="false">IF(K185=1,J185/G185^2,0)</f>
        <v>0.859247197719929</v>
      </c>
      <c r="Q185" s="2" t="n">
        <f aca="false">IF(K185=1,((E185-Result!$B$7*D185)/G185)^2,0)</f>
        <v>0.17043276263029</v>
      </c>
    </row>
    <row r="186" customFormat="false" ht="15" hidden="false" customHeight="false" outlineLevel="0" collapsed="false">
      <c r="A186" s="4" t="s">
        <v>40</v>
      </c>
      <c r="B186" s="4" t="s">
        <v>249</v>
      </c>
      <c r="C186" s="4" t="s">
        <v>63</v>
      </c>
      <c r="D186" s="5" t="n">
        <v>1583.016</v>
      </c>
      <c r="E186" s="5" t="n">
        <v>8.7</v>
      </c>
      <c r="F186" s="5" t="n">
        <v>0.00506304186978661</v>
      </c>
      <c r="G186" s="5" t="n">
        <v>1.0788</v>
      </c>
      <c r="H186" s="2" t="n">
        <f aca="false">D186*F186</f>
        <v>8.01487628854212</v>
      </c>
      <c r="I186" s="2" t="n">
        <f aca="false">IF(G186="","",D186*1000000/Inputs!$B$4^2*Inputs!$B$5/G186)</f>
        <v>7.45683081472506</v>
      </c>
      <c r="J186" s="2" t="n">
        <f aca="false">IF(C186="A",Inputs!$B$7,IF(C186="B",Inputs!$B$8,IF(C186="C",Inputs!$B$9,0)))</f>
        <v>1</v>
      </c>
      <c r="K186" s="2" t="n">
        <f aca="false">IF(AND(E186&lt;&gt;"",G186&lt;&gt;"",J186&gt;0),IF(I186&gt;=Inputs!$B$6,1,0),0)</f>
        <v>1</v>
      </c>
      <c r="L186" s="5" t="n">
        <v>0</v>
      </c>
      <c r="M186" s="5" t="n">
        <v>1583.4096</v>
      </c>
      <c r="N186" s="5" t="n">
        <v>8.02</v>
      </c>
      <c r="O186" s="4" t="s">
        <v>64</v>
      </c>
      <c r="P186" s="2" t="n">
        <f aca="false">IF(K186=1,J186/G186^2,0)</f>
        <v>0.859247197719929</v>
      </c>
      <c r="Q186" s="2" t="n">
        <f aca="false">IF(K186=1,((E186-Result!$B$7*D186)/G186)^2,0)</f>
        <v>0.420996908059463</v>
      </c>
    </row>
    <row r="187" customFormat="false" ht="15" hidden="false" customHeight="false" outlineLevel="0" collapsed="false">
      <c r="A187" s="4" t="s">
        <v>40</v>
      </c>
      <c r="B187" s="4" t="s">
        <v>250</v>
      </c>
      <c r="C187" s="4" t="s">
        <v>63</v>
      </c>
      <c r="D187" s="5" t="n">
        <v>1340.6243</v>
      </c>
      <c r="E187" s="5" t="n">
        <v>5.36</v>
      </c>
      <c r="F187" s="5" t="n">
        <v>0.00506321540344342</v>
      </c>
      <c r="G187" s="5" t="n">
        <v>1.0788</v>
      </c>
      <c r="H187" s="2" t="n">
        <f aca="false">D187*F187</f>
        <v>6.78786960599055</v>
      </c>
      <c r="I187" s="2" t="n">
        <f aca="false">IF(G187="","",D187*1000000/Inputs!$B$4^2*Inputs!$B$5/G187)</f>
        <v>6.3150395139463</v>
      </c>
      <c r="J187" s="2" t="n">
        <f aca="false">IF(C187="A",Inputs!$B$7,IF(C187="B",Inputs!$B$8,IF(C187="C",Inputs!$B$9,0)))</f>
        <v>1</v>
      </c>
      <c r="K187" s="2" t="n">
        <f aca="false">IF(AND(E187&lt;&gt;"",G187&lt;&gt;"",J187&gt;0),IF(I187&gt;=Inputs!$B$6,1,0),0)</f>
        <v>1</v>
      </c>
      <c r="L187" s="5" t="n">
        <v>0</v>
      </c>
      <c r="M187" s="5" t="n">
        <v>1340.9559</v>
      </c>
      <c r="N187" s="5" t="n">
        <v>6.79</v>
      </c>
      <c r="O187" s="4" t="s">
        <v>64</v>
      </c>
      <c r="P187" s="2" t="n">
        <f aca="false">IF(K187=1,J187/G187^2,0)</f>
        <v>0.859247197719929</v>
      </c>
      <c r="Q187" s="2" t="n">
        <f aca="false">IF(K187=1,((E187-Result!$B$7*D187)/G187)^2,0)</f>
        <v>1.72055850650965</v>
      </c>
    </row>
    <row r="188" customFormat="false" ht="15" hidden="false" customHeight="false" outlineLevel="0" collapsed="false">
      <c r="A188" s="4" t="s">
        <v>40</v>
      </c>
      <c r="B188" s="4" t="s">
        <v>251</v>
      </c>
      <c r="C188" s="4" t="s">
        <v>63</v>
      </c>
      <c r="D188" s="5" t="n">
        <v>853.1397</v>
      </c>
      <c r="E188" s="5" t="n">
        <v>4.49</v>
      </c>
      <c r="F188" s="5" t="n">
        <v>0.00506309136343012</v>
      </c>
      <c r="G188" s="5" t="n">
        <v>1.0788</v>
      </c>
      <c r="H188" s="2" t="n">
        <f aca="false">D188*F188</f>
        <v>4.31952424686936</v>
      </c>
      <c r="I188" s="2" t="n">
        <f aca="false">IF(G188="","",D188*1000000/Inputs!$B$4^2*Inputs!$B$5/G188)</f>
        <v>4.01873285186334</v>
      </c>
      <c r="J188" s="2" t="n">
        <f aca="false">IF(C188="A",Inputs!$B$7,IF(C188="B",Inputs!$B$8,IF(C188="C",Inputs!$B$9,0)))</f>
        <v>1</v>
      </c>
      <c r="K188" s="2" t="n">
        <f aca="false">IF(AND(E188&lt;&gt;"",G188&lt;&gt;"",J188&gt;0),IF(I188&gt;=Inputs!$B$6,1,0),0)</f>
        <v>1</v>
      </c>
      <c r="L188" s="5" t="n">
        <v>0</v>
      </c>
      <c r="M188" s="5" t="n">
        <v>853.3478</v>
      </c>
      <c r="N188" s="5" t="n">
        <v>4.32</v>
      </c>
      <c r="O188" s="4" t="s">
        <v>64</v>
      </c>
      <c r="P188" s="2" t="n">
        <f aca="false">IF(K188=1,J188/G188^2,0)</f>
        <v>0.859247197719929</v>
      </c>
      <c r="Q188" s="2" t="n">
        <f aca="false">IF(K188=1,((E188-Result!$B$7*D188)/G188)^2,0)</f>
        <v>0.0273836756545664</v>
      </c>
    </row>
    <row r="189" customFormat="false" ht="15" hidden="false" customHeight="false" outlineLevel="0" collapsed="false">
      <c r="A189" s="4" t="s">
        <v>40</v>
      </c>
      <c r="B189" s="4" t="s">
        <v>252</v>
      </c>
      <c r="C189" s="4" t="s">
        <v>63</v>
      </c>
      <c r="D189" s="5" t="n">
        <v>1288.9035</v>
      </c>
      <c r="E189" s="5" t="n">
        <v>6.28</v>
      </c>
      <c r="F189" s="5" t="n">
        <v>0.00506286620132172</v>
      </c>
      <c r="G189" s="5" t="n">
        <v>1.0788</v>
      </c>
      <c r="H189" s="2" t="n">
        <f aca="false">D189*F189</f>
        <v>6.52554596691527</v>
      </c>
      <c r="I189" s="2" t="n">
        <f aca="false">IF(G189="","",D189*1000000/Inputs!$B$4^2*Inputs!$B$5/G189)</f>
        <v>6.07140757642815</v>
      </c>
      <c r="J189" s="2" t="n">
        <f aca="false">IF(C189="A",Inputs!$B$7,IF(C189="B",Inputs!$B$8,IF(C189="C",Inputs!$B$9,0)))</f>
        <v>1</v>
      </c>
      <c r="K189" s="2" t="n">
        <f aca="false">IF(AND(E189&lt;&gt;"",G189&lt;&gt;"",J189&gt;0),IF(I189&gt;=Inputs!$B$6,1,0),0)</f>
        <v>1</v>
      </c>
      <c r="L189" s="5" t="n">
        <v>0</v>
      </c>
      <c r="M189" s="5" t="n">
        <v>1289.2192</v>
      </c>
      <c r="N189" s="5" t="n">
        <v>6.53</v>
      </c>
      <c r="O189" s="4" t="s">
        <v>64</v>
      </c>
      <c r="P189" s="2" t="n">
        <f aca="false">IF(K189=1,J189/G189^2,0)</f>
        <v>0.859247197719929</v>
      </c>
      <c r="Q189" s="2" t="n">
        <f aca="false">IF(K189=1,((E189-Result!$B$7*D189)/G189)^2,0)</f>
        <v>0.0469216165645358</v>
      </c>
    </row>
    <row r="190" customFormat="false" ht="15" hidden="false" customHeight="false" outlineLevel="0" collapsed="false">
      <c r="A190" s="4" t="s">
        <v>40</v>
      </c>
      <c r="B190" s="4" t="s">
        <v>253</v>
      </c>
      <c r="C190" s="4" t="s">
        <v>63</v>
      </c>
      <c r="D190" s="5" t="n">
        <v>909.5952</v>
      </c>
      <c r="E190" s="5" t="n">
        <v>4.08</v>
      </c>
      <c r="F190" s="5" t="n">
        <v>0.00506289518227977</v>
      </c>
      <c r="G190" s="5" t="n">
        <v>1.0788</v>
      </c>
      <c r="H190" s="2" t="n">
        <f aca="false">D190*F190</f>
        <v>4.6051851559048</v>
      </c>
      <c r="I190" s="2" t="n">
        <f aca="false">IF(G190="","",D190*1000000/Inputs!$B$4^2*Inputs!$B$5/G190)</f>
        <v>4.28466769526398</v>
      </c>
      <c r="J190" s="2" t="n">
        <f aca="false">IF(C190="A",Inputs!$B$7,IF(C190="B",Inputs!$B$8,IF(C190="C",Inputs!$B$9,0)))</f>
        <v>1</v>
      </c>
      <c r="K190" s="2" t="n">
        <f aca="false">IF(AND(E190&lt;&gt;"",G190&lt;&gt;"",J190&gt;0),IF(I190&gt;=Inputs!$B$6,1,0),0)</f>
        <v>1</v>
      </c>
      <c r="L190" s="5" t="n">
        <v>0</v>
      </c>
      <c r="M190" s="5" t="n">
        <v>909.815</v>
      </c>
      <c r="N190" s="5" t="n">
        <v>4.61</v>
      </c>
      <c r="O190" s="4" t="s">
        <v>64</v>
      </c>
      <c r="P190" s="2" t="n">
        <f aca="false">IF(K190=1,J190/G190^2,0)</f>
        <v>0.859247197719929</v>
      </c>
      <c r="Q190" s="2" t="n">
        <f aca="false">IF(K190=1,((E190-Result!$B$7*D190)/G190)^2,0)</f>
        <v>0.229478179879513</v>
      </c>
    </row>
    <row r="191" customFormat="false" ht="15" hidden="false" customHeight="false" outlineLevel="0" collapsed="false">
      <c r="A191" s="4" t="s">
        <v>40</v>
      </c>
      <c r="B191" s="4" t="s">
        <v>254</v>
      </c>
      <c r="C191" s="4" t="s">
        <v>63</v>
      </c>
      <c r="D191" s="5" t="n">
        <v>852.2553</v>
      </c>
      <c r="E191" s="5" t="n">
        <v>4.98</v>
      </c>
      <c r="F191" s="5" t="n">
        <v>0.00506270213016559</v>
      </c>
      <c r="G191" s="5" t="n">
        <v>1.0788</v>
      </c>
      <c r="H191" s="2" t="n">
        <f aca="false">D191*F191</f>
        <v>4.31471472275491</v>
      </c>
      <c r="I191" s="2" t="n">
        <f aca="false">IF(G191="","",D191*1000000/Inputs!$B$4^2*Inputs!$B$5/G191)</f>
        <v>4.01456686669797</v>
      </c>
      <c r="J191" s="2" t="n">
        <f aca="false">IF(C191="A",Inputs!$B$7,IF(C191="B",Inputs!$B$8,IF(C191="C",Inputs!$B$9,0)))</f>
        <v>1</v>
      </c>
      <c r="K191" s="2" t="n">
        <f aca="false">IF(AND(E191&lt;&gt;"",G191&lt;&gt;"",J191&gt;0),IF(I191&gt;=Inputs!$B$6,1,0),0)</f>
        <v>1</v>
      </c>
      <c r="L191" s="5" t="n">
        <v>0</v>
      </c>
      <c r="M191" s="5" t="n">
        <v>852.4598</v>
      </c>
      <c r="N191" s="5" t="n">
        <v>4.32</v>
      </c>
      <c r="O191" s="4" t="s">
        <v>64</v>
      </c>
      <c r="P191" s="2" t="n">
        <f aca="false">IF(K191=1,J191/G191^2,0)</f>
        <v>0.859247197719929</v>
      </c>
      <c r="Q191" s="2" t="n">
        <f aca="false">IF(K191=1,((E191-Result!$B$7*D191)/G191)^2,0)</f>
        <v>0.389165750041729</v>
      </c>
    </row>
    <row r="192" customFormat="false" ht="15" hidden="false" customHeight="false" outlineLevel="0" collapsed="false">
      <c r="A192" s="4" t="s">
        <v>40</v>
      </c>
      <c r="B192" s="4" t="s">
        <v>255</v>
      </c>
      <c r="C192" s="4" t="s">
        <v>63</v>
      </c>
      <c r="D192" s="5" t="n">
        <v>866.6952</v>
      </c>
      <c r="E192" s="5" t="n">
        <v>4.33</v>
      </c>
      <c r="F192" s="5" t="n">
        <v>0.00506281509045925</v>
      </c>
      <c r="G192" s="5" t="n">
        <v>1.0788</v>
      </c>
      <c r="H192" s="2" t="n">
        <f aca="false">D192*F192</f>
        <v>4.3879175373886</v>
      </c>
      <c r="I192" s="2" t="n">
        <f aca="false">IF(G192="","",D192*1000000/Inputs!$B$4^2*Inputs!$B$5/G192)</f>
        <v>4.08258632530202</v>
      </c>
      <c r="J192" s="2" t="n">
        <f aca="false">IF(C192="A",Inputs!$B$7,IF(C192="B",Inputs!$B$8,IF(C192="C",Inputs!$B$9,0)))</f>
        <v>1</v>
      </c>
      <c r="K192" s="2" t="n">
        <f aca="false">IF(AND(E192&lt;&gt;"",G192&lt;&gt;"",J192&gt;0),IF(I192&gt;=Inputs!$B$6,1,0),0)</f>
        <v>1</v>
      </c>
      <c r="L192" s="5" t="n">
        <v>0</v>
      </c>
      <c r="M192" s="5" t="n">
        <v>866.903</v>
      </c>
      <c r="N192" s="5" t="n">
        <v>4.39</v>
      </c>
      <c r="O192" s="4" t="s">
        <v>64</v>
      </c>
      <c r="P192" s="2" t="n">
        <f aca="false">IF(K192=1,J192/G192^2,0)</f>
        <v>0.859247197719929</v>
      </c>
      <c r="Q192" s="2" t="n">
        <f aca="false">IF(K192=1,((E192-Result!$B$7*D192)/G192)^2,0)</f>
        <v>0.00214682495531638</v>
      </c>
    </row>
    <row r="193" customFormat="false" ht="15" hidden="false" customHeight="false" outlineLevel="0" collapsed="false">
      <c r="A193" s="4" t="s">
        <v>40</v>
      </c>
      <c r="B193" s="4" t="s">
        <v>256</v>
      </c>
      <c r="C193" s="4" t="s">
        <v>63</v>
      </c>
      <c r="D193" s="5" t="n">
        <v>939.0574</v>
      </c>
      <c r="E193" s="5" t="n">
        <v>3.72</v>
      </c>
      <c r="F193" s="5" t="n">
        <v>0.00506268712132154</v>
      </c>
      <c r="G193" s="5" t="n">
        <v>1.0788</v>
      </c>
      <c r="H193" s="2" t="n">
        <f aca="false">D193*F193</f>
        <v>4.75415380516169</v>
      </c>
      <c r="I193" s="2" t="n">
        <f aca="false">IF(G193="","",D193*1000000/Inputs!$B$4^2*Inputs!$B$5/G193)</f>
        <v>4.42345002016126</v>
      </c>
      <c r="J193" s="2" t="n">
        <f aca="false">IF(C193="A",Inputs!$B$7,IF(C193="B",Inputs!$B$8,IF(C193="C",Inputs!$B$9,0)))</f>
        <v>1</v>
      </c>
      <c r="K193" s="2" t="n">
        <f aca="false">IF(AND(E193&lt;&gt;"",G193&lt;&gt;"",J193&gt;0),IF(I193&gt;=Inputs!$B$6,1,0),0)</f>
        <v>1</v>
      </c>
      <c r="L193" s="5" t="n">
        <v>0</v>
      </c>
      <c r="M193" s="5" t="n">
        <v>939.2838</v>
      </c>
      <c r="N193" s="5" t="n">
        <v>4.76</v>
      </c>
      <c r="O193" s="4" t="s">
        <v>64</v>
      </c>
      <c r="P193" s="2" t="n">
        <f aca="false">IF(K193=1,J193/G193^2,0)</f>
        <v>0.859247197719929</v>
      </c>
      <c r="Q193" s="2" t="n">
        <f aca="false">IF(K193=1,((E193-Result!$B$7*D193)/G193)^2,0)</f>
        <v>0.903943151532351</v>
      </c>
    </row>
    <row r="194" customFormat="false" ht="15" hidden="false" customHeight="false" outlineLevel="0" collapsed="false">
      <c r="A194" s="4" t="s">
        <v>40</v>
      </c>
      <c r="B194" s="4" t="s">
        <v>257</v>
      </c>
      <c r="C194" s="4" t="s">
        <v>63</v>
      </c>
      <c r="D194" s="5" t="n">
        <v>690.9381</v>
      </c>
      <c r="E194" s="5" t="n">
        <v>3.28</v>
      </c>
      <c r="F194" s="5" t="n">
        <v>0.00506279752799899</v>
      </c>
      <c r="G194" s="5" t="n">
        <v>1.0788</v>
      </c>
      <c r="H194" s="2" t="n">
        <f aca="false">D194*F194</f>
        <v>3.49807970468032</v>
      </c>
      <c r="I194" s="2" t="n">
        <f aca="false">IF(G194="","",D194*1000000/Inputs!$B$4^2*Inputs!$B$5/G194)</f>
        <v>3.25467873675793</v>
      </c>
      <c r="J194" s="2" t="n">
        <f aca="false">IF(C194="A",Inputs!$B$7,IF(C194="B",Inputs!$B$8,IF(C194="C",Inputs!$B$9,0)))</f>
        <v>1</v>
      </c>
      <c r="K194" s="2" t="n">
        <f aca="false">IF(AND(E194&lt;&gt;"",G194&lt;&gt;"",J194&gt;0),IF(I194&gt;=Inputs!$B$6,1,0),0)</f>
        <v>1</v>
      </c>
      <c r="L194" s="5" t="n">
        <v>0</v>
      </c>
      <c r="M194" s="5" t="n">
        <v>691.1051</v>
      </c>
      <c r="N194" s="5" t="n">
        <v>3.5</v>
      </c>
      <c r="O194" s="4" t="s">
        <v>64</v>
      </c>
      <c r="P194" s="2" t="n">
        <f aca="false">IF(K194=1,J194/G194^2,0)</f>
        <v>0.859247197719929</v>
      </c>
      <c r="Q194" s="2" t="n">
        <f aca="false">IF(K194=1,((E194-Result!$B$7*D194)/G194)^2,0)</f>
        <v>0.0385334936507079</v>
      </c>
    </row>
    <row r="195" customFormat="false" ht="15" hidden="false" customHeight="false" outlineLevel="0" collapsed="false">
      <c r="A195" s="4" t="s">
        <v>40</v>
      </c>
      <c r="B195" s="4" t="s">
        <v>258</v>
      </c>
      <c r="C195" s="4" t="s">
        <v>63</v>
      </c>
      <c r="D195" s="5" t="n">
        <v>607.5441</v>
      </c>
      <c r="E195" s="5" t="n">
        <v>2.16</v>
      </c>
      <c r="F195" s="5" t="n">
        <v>0.00506264532417029</v>
      </c>
      <c r="G195" s="5" t="n">
        <v>1.0788</v>
      </c>
      <c r="H195" s="2" t="n">
        <f aca="false">D195*F195</f>
        <v>3.07578029709224</v>
      </c>
      <c r="I195" s="2" t="n">
        <f aca="false">IF(G195="","",D195*1000000/Inputs!$B$4^2*Inputs!$B$5/G195)</f>
        <v>2.86184951142907</v>
      </c>
      <c r="J195" s="2" t="n">
        <f aca="false">IF(C195="A",Inputs!$B$7,IF(C195="B",Inputs!$B$8,IF(C195="C",Inputs!$B$9,0)))</f>
        <v>1</v>
      </c>
      <c r="K195" s="2" t="n">
        <f aca="false">IF(AND(E195&lt;&gt;"",G195&lt;&gt;"",J195&gt;0),IF(I195&gt;=Inputs!$B$6,1,0),0)</f>
        <v>1</v>
      </c>
      <c r="L195" s="5" t="n">
        <v>0</v>
      </c>
      <c r="M195" s="5" t="n">
        <v>607.6914</v>
      </c>
      <c r="N195" s="5" t="n">
        <v>3.08</v>
      </c>
      <c r="O195" s="4" t="s">
        <v>64</v>
      </c>
      <c r="P195" s="2" t="n">
        <f aca="false">IF(K195=1,J195/G195^2,0)</f>
        <v>0.859247197719929</v>
      </c>
      <c r="Q195" s="2" t="n">
        <f aca="false">IF(K195=1,((E195-Result!$B$7*D195)/G195)^2,0)</f>
        <v>0.712047463564656</v>
      </c>
    </row>
    <row r="196" customFormat="false" ht="15" hidden="false" customHeight="false" outlineLevel="0" collapsed="false">
      <c r="A196" s="4" t="s">
        <v>40</v>
      </c>
      <c r="B196" s="4" t="s">
        <v>259</v>
      </c>
      <c r="C196" s="4" t="s">
        <v>63</v>
      </c>
      <c r="D196" s="5" t="n">
        <v>647.749</v>
      </c>
      <c r="E196" s="5" t="n">
        <v>4.34</v>
      </c>
      <c r="F196" s="5" t="n">
        <v>0.00506281520008907</v>
      </c>
      <c r="G196" s="5" t="n">
        <v>1.0788</v>
      </c>
      <c r="H196" s="2" t="n">
        <f aca="false">D196*F196</f>
        <v>3.27943348304249</v>
      </c>
      <c r="I196" s="2" t="n">
        <f aca="false">IF(G196="","",D196*1000000/Inputs!$B$4^2*Inputs!$B$5/G196)</f>
        <v>3.05123555504641</v>
      </c>
      <c r="J196" s="2" t="n">
        <f aca="false">IF(C196="A",Inputs!$B$7,IF(C196="B",Inputs!$B$8,IF(C196="C",Inputs!$B$9,0)))</f>
        <v>1</v>
      </c>
      <c r="K196" s="2" t="n">
        <f aca="false">IF(AND(E196&lt;&gt;"",G196&lt;&gt;"",J196&gt;0),IF(I196&gt;=Inputs!$B$6,1,0),0)</f>
        <v>1</v>
      </c>
      <c r="L196" s="5" t="n">
        <v>0</v>
      </c>
      <c r="M196" s="5" t="n">
        <v>647.9062</v>
      </c>
      <c r="N196" s="5" t="n">
        <v>3.28</v>
      </c>
      <c r="O196" s="4" t="s">
        <v>64</v>
      </c>
      <c r="P196" s="2" t="n">
        <f aca="false">IF(K196=1,J196/G196^2,0)</f>
        <v>0.859247197719929</v>
      </c>
      <c r="Q196" s="2" t="n">
        <f aca="false">IF(K196=1,((E196-Result!$B$7*D196)/G196)^2,0)</f>
        <v>0.977318139597007</v>
      </c>
    </row>
    <row r="197" customFormat="false" ht="15" hidden="false" customHeight="false" outlineLevel="0" collapsed="false">
      <c r="A197" s="4" t="s">
        <v>40</v>
      </c>
      <c r="B197" s="4" t="s">
        <v>260</v>
      </c>
      <c r="C197" s="4" t="s">
        <v>63</v>
      </c>
      <c r="D197" s="5" t="n">
        <v>1182.2856</v>
      </c>
      <c r="E197" s="5" t="n">
        <v>5.47</v>
      </c>
      <c r="F197" s="5" t="n">
        <v>0.00506273378225974</v>
      </c>
      <c r="G197" s="5" t="n">
        <v>1.0788</v>
      </c>
      <c r="H197" s="2" t="n">
        <f aca="false">D197*F197</f>
        <v>5.98559724739923</v>
      </c>
      <c r="I197" s="2" t="n">
        <f aca="false">IF(G197="","",D197*1000000/Inputs!$B$4^2*Inputs!$B$5/G197)</f>
        <v>5.56918167212821</v>
      </c>
      <c r="J197" s="2" t="n">
        <f aca="false">IF(C197="A",Inputs!$B$7,IF(C197="B",Inputs!$B$8,IF(C197="C",Inputs!$B$9,0)))</f>
        <v>1</v>
      </c>
      <c r="K197" s="2" t="n">
        <f aca="false">IF(AND(E197&lt;&gt;"",G197&lt;&gt;"",J197&gt;0),IF(I197&gt;=Inputs!$B$6,1,0),0)</f>
        <v>1</v>
      </c>
      <c r="L197" s="5" t="n">
        <v>0</v>
      </c>
      <c r="M197" s="5" t="n">
        <v>1182.5751</v>
      </c>
      <c r="N197" s="5" t="n">
        <v>5.99</v>
      </c>
      <c r="O197" s="4" t="s">
        <v>64</v>
      </c>
      <c r="P197" s="2" t="n">
        <f aca="false">IF(K197=1,J197/G197^2,0)</f>
        <v>0.859247197719929</v>
      </c>
      <c r="Q197" s="2" t="n">
        <f aca="false">IF(K197=1,((E197-Result!$B$7*D197)/G197)^2,0)</f>
        <v>0.219018698137208</v>
      </c>
    </row>
    <row r="198" customFormat="false" ht="15" hidden="false" customHeight="false" outlineLevel="0" collapsed="false">
      <c r="A198" s="4" t="s">
        <v>40</v>
      </c>
      <c r="B198" s="4" t="s">
        <v>261</v>
      </c>
      <c r="C198" s="4" t="s">
        <v>63</v>
      </c>
      <c r="D198" s="5" t="n">
        <v>1331.245</v>
      </c>
      <c r="E198" s="5" t="n">
        <v>5.12</v>
      </c>
      <c r="F198" s="5" t="n">
        <v>0.00506292793486356</v>
      </c>
      <c r="G198" s="5" t="n">
        <v>1.0788</v>
      </c>
      <c r="H198" s="2" t="n">
        <f aca="false">D198*F198</f>
        <v>6.73999749864744</v>
      </c>
      <c r="I198" s="2" t="n">
        <f aca="false">IF(G198="","",D198*1000000/Inputs!$B$4^2*Inputs!$B$5/G198)</f>
        <v>6.27085812016345</v>
      </c>
      <c r="J198" s="2" t="n">
        <f aca="false">IF(C198="A",Inputs!$B$7,IF(C198="B",Inputs!$B$8,IF(C198="C",Inputs!$B$9,0)))</f>
        <v>1</v>
      </c>
      <c r="K198" s="2" t="n">
        <f aca="false">IF(AND(E198&lt;&gt;"",G198&lt;&gt;"",J198&gt;0),IF(I198&gt;=Inputs!$B$6,1,0),0)</f>
        <v>1</v>
      </c>
      <c r="L198" s="5" t="n">
        <v>0</v>
      </c>
      <c r="M198" s="5" t="n">
        <v>1331.5726</v>
      </c>
      <c r="N198" s="5" t="n">
        <v>6.74</v>
      </c>
      <c r="O198" s="4" t="s">
        <v>64</v>
      </c>
      <c r="P198" s="2" t="n">
        <f aca="false">IF(K198=1,J198/G198^2,0)</f>
        <v>0.859247197719929</v>
      </c>
      <c r="Q198" s="2" t="n">
        <f aca="false">IF(K198=1,((E198-Result!$B$7*D198)/G198)^2,0)</f>
        <v>2.22079287075078</v>
      </c>
    </row>
    <row r="199" customFormat="false" ht="15" hidden="false" customHeight="false" outlineLevel="0" collapsed="false">
      <c r="A199" s="4" t="s">
        <v>40</v>
      </c>
      <c r="B199" s="4" t="s">
        <v>262</v>
      </c>
      <c r="C199" s="4" t="s">
        <v>63</v>
      </c>
      <c r="D199" s="5" t="n">
        <v>906.9202</v>
      </c>
      <c r="E199" s="5" t="n">
        <v>4.19</v>
      </c>
      <c r="F199" s="5" t="n">
        <v>0.00506278220762787</v>
      </c>
      <c r="G199" s="5" t="n">
        <v>1.0788</v>
      </c>
      <c r="H199" s="2" t="n">
        <f aca="false">D199*F199</f>
        <v>4.59153945229831</v>
      </c>
      <c r="I199" s="2" t="n">
        <f aca="false">IF(G199="","",D199*1000000/Inputs!$B$4^2*Inputs!$B$5/G199)</f>
        <v>4.27206705040038</v>
      </c>
      <c r="J199" s="2" t="n">
        <f aca="false">IF(C199="A",Inputs!$B$7,IF(C199="B",Inputs!$B$8,IF(C199="C",Inputs!$B$9,0)))</f>
        <v>1</v>
      </c>
      <c r="K199" s="2" t="n">
        <f aca="false">IF(AND(E199&lt;&gt;"",G199&lt;&gt;"",J199&gt;0),IF(I199&gt;=Inputs!$B$6,1,0),0)</f>
        <v>1</v>
      </c>
      <c r="L199" s="5" t="n">
        <v>0</v>
      </c>
      <c r="M199" s="5" t="n">
        <v>907.1416</v>
      </c>
      <c r="N199" s="5" t="n">
        <v>4.59</v>
      </c>
      <c r="O199" s="4" t="s">
        <v>64</v>
      </c>
      <c r="P199" s="2" t="n">
        <f aca="false">IF(K199=1,J199/G199^2,0)</f>
        <v>0.859247197719929</v>
      </c>
      <c r="Q199" s="2" t="n">
        <f aca="false">IF(K199=1,((E199-Result!$B$7*D199)/G199)^2,0)</f>
        <v>0.132891281941607</v>
      </c>
    </row>
    <row r="200" customFormat="false" ht="15" hidden="false" customHeight="false" outlineLevel="0" collapsed="false">
      <c r="A200" s="4" t="s">
        <v>40</v>
      </c>
      <c r="B200" s="4" t="s">
        <v>263</v>
      </c>
      <c r="C200" s="4" t="s">
        <v>63</v>
      </c>
      <c r="D200" s="5" t="n">
        <v>1489.164</v>
      </c>
      <c r="E200" s="5" t="n">
        <v>7.11</v>
      </c>
      <c r="F200" s="5" t="n">
        <v>0.00506294371660359</v>
      </c>
      <c r="G200" s="5" t="n">
        <v>1.0788</v>
      </c>
      <c r="H200" s="2" t="n">
        <f aca="false">D200*F200</f>
        <v>7.53955351679226</v>
      </c>
      <c r="I200" s="2" t="n">
        <f aca="false">IF(G200="","",D200*1000000/Inputs!$B$4^2*Inputs!$B$5/G200)</f>
        <v>7.01473895613135</v>
      </c>
      <c r="J200" s="2" t="n">
        <f aca="false">IF(C200="A",Inputs!$B$7,IF(C200="B",Inputs!$B$8,IF(C200="C",Inputs!$B$9,0)))</f>
        <v>1</v>
      </c>
      <c r="K200" s="2" t="n">
        <f aca="false">IF(AND(E200&lt;&gt;"",G200&lt;&gt;"",J200&gt;0),IF(I200&gt;=Inputs!$B$6,1,0),0)</f>
        <v>1</v>
      </c>
      <c r="L200" s="5" t="n">
        <v>0</v>
      </c>
      <c r="M200" s="5" t="n">
        <v>1489.5327</v>
      </c>
      <c r="N200" s="5" t="n">
        <v>7.54</v>
      </c>
      <c r="O200" s="4" t="s">
        <v>64</v>
      </c>
      <c r="P200" s="2" t="n">
        <f aca="false">IF(K200=1,J200/G200^2,0)</f>
        <v>0.859247197719929</v>
      </c>
      <c r="Q200" s="2" t="n">
        <f aca="false">IF(K200=1,((E200-Result!$B$7*D200)/G200)^2,0)</f>
        <v>0.148506440671862</v>
      </c>
    </row>
    <row r="201" customFormat="false" ht="15" hidden="false" customHeight="false" outlineLevel="0" collapsed="false">
      <c r="A201" s="4" t="s">
        <v>40</v>
      </c>
      <c r="B201" s="4" t="s">
        <v>264</v>
      </c>
      <c r="C201" s="4" t="s">
        <v>63</v>
      </c>
      <c r="D201" s="5" t="n">
        <v>1585.654</v>
      </c>
      <c r="E201" s="5" t="n">
        <v>8.55</v>
      </c>
      <c r="F201" s="5" t="n">
        <v>0.00506327959990161</v>
      </c>
      <c r="G201" s="5" t="n">
        <v>1.0788</v>
      </c>
      <c r="H201" s="2" t="n">
        <f aca="false">D201*F201</f>
        <v>8.02860955070238</v>
      </c>
      <c r="I201" s="2" t="n">
        <f aca="false">IF(G201="","",D201*1000000/Inputs!$B$4^2*Inputs!$B$5/G201)</f>
        <v>7.46925717029521</v>
      </c>
      <c r="J201" s="2" t="n">
        <f aca="false">IF(C201="A",Inputs!$B$7,IF(C201="B",Inputs!$B$8,IF(C201="C",Inputs!$B$9,0)))</f>
        <v>1</v>
      </c>
      <c r="K201" s="2" t="n">
        <f aca="false">IF(AND(E201&lt;&gt;"",G201&lt;&gt;"",J201&gt;0),IF(I201&gt;=Inputs!$B$6,1,0),0)</f>
        <v>1</v>
      </c>
      <c r="L201" s="5" t="n">
        <v>0</v>
      </c>
      <c r="M201" s="5" t="n">
        <v>1586.049</v>
      </c>
      <c r="N201" s="5" t="n">
        <v>8.03</v>
      </c>
      <c r="O201" s="4" t="s">
        <v>64</v>
      </c>
      <c r="P201" s="2" t="n">
        <f aca="false">IF(K201=1,J201/G201^2,0)</f>
        <v>0.859247197719929</v>
      </c>
      <c r="Q201" s="2" t="n">
        <f aca="false">IF(K201=1,((E201-Result!$B$7*D201)/G201)^2,0)</f>
        <v>0.247448139938813</v>
      </c>
    </row>
    <row r="202" customFormat="false" ht="15" hidden="false" customHeight="false" outlineLevel="0" collapsed="false">
      <c r="A202" s="4" t="s">
        <v>40</v>
      </c>
      <c r="B202" s="4" t="s">
        <v>265</v>
      </c>
      <c r="C202" s="4" t="s">
        <v>63</v>
      </c>
      <c r="D202" s="5" t="n">
        <v>1661.2502</v>
      </c>
      <c r="E202" s="5" t="n">
        <v>7.45</v>
      </c>
      <c r="F202" s="5" t="n">
        <v>0.00506340749701117</v>
      </c>
      <c r="G202" s="5" t="n">
        <v>1.0788</v>
      </c>
      <c r="H202" s="2" t="n">
        <f aca="false">D202*F202</f>
        <v>8.4115867170913</v>
      </c>
      <c r="I202" s="2" t="n">
        <f aca="false">IF(G202="","",D202*1000000/Inputs!$B$4^2*Inputs!$B$5/G202)</f>
        <v>7.82535469150543</v>
      </c>
      <c r="J202" s="2" t="n">
        <f aca="false">IF(C202="A",Inputs!$B$7,IF(C202="B",Inputs!$B$8,IF(C202="C",Inputs!$B$9,0)))</f>
        <v>1</v>
      </c>
      <c r="K202" s="2" t="n">
        <f aca="false">IF(AND(E202&lt;&gt;"",G202&lt;&gt;"",J202&gt;0),IF(I202&gt;=Inputs!$B$6,1,0),0)</f>
        <v>1</v>
      </c>
      <c r="L202" s="5" t="n">
        <v>0</v>
      </c>
      <c r="M202" s="5" t="n">
        <v>1661.6642</v>
      </c>
      <c r="N202" s="5" t="n">
        <v>8.41</v>
      </c>
      <c r="O202" s="4" t="s">
        <v>64</v>
      </c>
      <c r="P202" s="2" t="n">
        <f aca="false">IF(K202=1,J202/G202^2,0)</f>
        <v>0.859247197719929</v>
      </c>
      <c r="Q202" s="2" t="n">
        <f aca="false">IF(K202=1,((E202-Result!$B$7*D202)/G202)^2,0)</f>
        <v>0.767975190792916</v>
      </c>
    </row>
    <row r="203" customFormat="false" ht="15" hidden="false" customHeight="false" outlineLevel="0" collapsed="false">
      <c r="A203" s="4" t="s">
        <v>40</v>
      </c>
      <c r="B203" s="4" t="s">
        <v>266</v>
      </c>
      <c r="C203" s="4" t="s">
        <v>63</v>
      </c>
      <c r="D203" s="5" t="n">
        <v>2563.4258</v>
      </c>
      <c r="E203" s="5" t="n">
        <v>13.14</v>
      </c>
      <c r="F203" s="5" t="n">
        <v>0.00506378362288719</v>
      </c>
      <c r="G203" s="5" t="n">
        <v>1.0788</v>
      </c>
      <c r="H203" s="2" t="n">
        <f aca="false">D203*F203</f>
        <v>12.9806335845265</v>
      </c>
      <c r="I203" s="2" t="n">
        <f aca="false">IF(G203="","",D203*1000000/Inputs!$B$4^2*Inputs!$B$5/G203)</f>
        <v>12.075072201861</v>
      </c>
      <c r="J203" s="2" t="n">
        <f aca="false">IF(C203="A",Inputs!$B$7,IF(C203="B",Inputs!$B$8,IF(C203="C",Inputs!$B$9,0)))</f>
        <v>1</v>
      </c>
      <c r="K203" s="2" t="n">
        <f aca="false">IF(AND(E203&lt;&gt;"",G203&lt;&gt;"",J203&gt;0),IF(I203&gt;=Inputs!$B$6,1,0),0)</f>
        <v>1</v>
      </c>
      <c r="L203" s="5" t="n">
        <v>0</v>
      </c>
      <c r="M203" s="5" t="n">
        <v>2564.0839</v>
      </c>
      <c r="N203" s="5" t="n">
        <v>12.98</v>
      </c>
      <c r="O203" s="4" t="s">
        <v>64</v>
      </c>
      <c r="P203" s="2" t="n">
        <f aca="false">IF(K203=1,J203/G203^2,0)</f>
        <v>0.859247197719929</v>
      </c>
      <c r="Q203" s="2" t="n">
        <f aca="false">IF(K203=1,((E203-Result!$B$7*D203)/G203)^2,0)</f>
        <v>0.0295068211189056</v>
      </c>
    </row>
    <row r="204" customFormat="false" ht="15" hidden="false" customHeight="false" outlineLevel="0" collapsed="false">
      <c r="A204" s="4" t="s">
        <v>40</v>
      </c>
      <c r="B204" s="4" t="s">
        <v>267</v>
      </c>
      <c r="C204" s="4" t="s">
        <v>63</v>
      </c>
      <c r="D204" s="5" t="n">
        <v>2149.6511</v>
      </c>
      <c r="E204" s="5" t="n">
        <v>11.62</v>
      </c>
      <c r="F204" s="5" t="n">
        <v>0.00506376136243855</v>
      </c>
      <c r="G204" s="5" t="n">
        <v>1.0788</v>
      </c>
      <c r="H204" s="2" t="n">
        <f aca="false">D204*F204</f>
        <v>10.8853201829035</v>
      </c>
      <c r="I204" s="2" t="n">
        <f aca="false">IF(G204="","",D204*1000000/Inputs!$B$4^2*Inputs!$B$5/G204)</f>
        <v>10.1259776043878</v>
      </c>
      <c r="J204" s="2" t="n">
        <f aca="false">IF(C204="A",Inputs!$B$7,IF(C204="B",Inputs!$B$8,IF(C204="C",Inputs!$B$9,0)))</f>
        <v>1</v>
      </c>
      <c r="K204" s="2" t="n">
        <f aca="false">IF(AND(E204&lt;&gt;"",G204&lt;&gt;"",J204&gt;0),IF(I204&gt;=Inputs!$B$6,1,0),0)</f>
        <v>1</v>
      </c>
      <c r="L204" s="5" t="n">
        <v>0</v>
      </c>
      <c r="M204" s="5" t="n">
        <v>2150.1962</v>
      </c>
      <c r="N204" s="5" t="n">
        <v>10.89</v>
      </c>
      <c r="O204" s="4" t="s">
        <v>64</v>
      </c>
      <c r="P204" s="2" t="n">
        <f aca="false">IF(K204=1,J204/G204^2,0)</f>
        <v>0.859247197719929</v>
      </c>
      <c r="Q204" s="2" t="n">
        <f aca="false">IF(K204=1,((E204-Result!$B$7*D204)/G204)^2,0)</f>
        <v>0.491596284537541</v>
      </c>
    </row>
    <row r="205" customFormat="false" ht="15" hidden="false" customHeight="false" outlineLevel="0" collapsed="false">
      <c r="A205" s="4" t="s">
        <v>40</v>
      </c>
      <c r="B205" s="4" t="s">
        <v>268</v>
      </c>
      <c r="C205" s="4" t="s">
        <v>63</v>
      </c>
      <c r="D205" s="5" t="n">
        <v>1212.8006</v>
      </c>
      <c r="E205" s="5" t="n">
        <v>5.79</v>
      </c>
      <c r="F205" s="5" t="n">
        <v>0.00506399736935739</v>
      </c>
      <c r="G205" s="5" t="n">
        <v>1.0788</v>
      </c>
      <c r="H205" s="2" t="n">
        <f aca="false">D205*F205</f>
        <v>6.14161904795506</v>
      </c>
      <c r="I205" s="2" t="n">
        <f aca="false">IF(G205="","",D205*1000000/Inputs!$B$4^2*Inputs!$B$5/G205)</f>
        <v>5.71292323400208</v>
      </c>
      <c r="J205" s="2" t="n">
        <f aca="false">IF(C205="A",Inputs!$B$7,IF(C205="B",Inputs!$B$8,IF(C205="C",Inputs!$B$9,0)))</f>
        <v>1</v>
      </c>
      <c r="K205" s="2" t="n">
        <f aca="false">IF(AND(E205&lt;&gt;"",G205&lt;&gt;"",J205&gt;0),IF(I205&gt;=Inputs!$B$6,1,0),0)</f>
        <v>1</v>
      </c>
      <c r="L205" s="5" t="n">
        <v>0</v>
      </c>
      <c r="M205" s="5" t="n">
        <v>1213.1012</v>
      </c>
      <c r="N205" s="5" t="n">
        <v>6.14</v>
      </c>
      <c r="O205" s="4" t="s">
        <v>64</v>
      </c>
      <c r="P205" s="2" t="n">
        <f aca="false">IF(K205=1,J205/G205^2,0)</f>
        <v>0.859247197719929</v>
      </c>
      <c r="Q205" s="2" t="n">
        <f aca="false">IF(K205=1,((E205-Result!$B$7*D205)/G205)^2,0)</f>
        <v>0.0987949538500331</v>
      </c>
    </row>
    <row r="206" customFormat="false" ht="15" hidden="false" customHeight="false" outlineLevel="0" collapsed="false">
      <c r="A206" s="4" t="s">
        <v>40</v>
      </c>
      <c r="B206" s="4" t="s">
        <v>269</v>
      </c>
      <c r="C206" s="4" t="s">
        <v>63</v>
      </c>
      <c r="D206" s="5" t="n">
        <v>1466.6468</v>
      </c>
      <c r="E206" s="5" t="n">
        <v>6.48</v>
      </c>
      <c r="F206" s="5" t="n">
        <v>0.00506390045044435</v>
      </c>
      <c r="G206" s="5" t="n">
        <v>1.0788</v>
      </c>
      <c r="H206" s="2" t="n">
        <f aca="false">D206*F206</f>
        <v>7.42695339116276</v>
      </c>
      <c r="I206" s="2" t="n">
        <f aca="false">IF(G206="","",D206*1000000/Inputs!$B$4^2*Inputs!$B$5/G206)</f>
        <v>6.90867120266498</v>
      </c>
      <c r="J206" s="2" t="n">
        <f aca="false">IF(C206="A",Inputs!$B$7,IF(C206="B",Inputs!$B$8,IF(C206="C",Inputs!$B$9,0)))</f>
        <v>1</v>
      </c>
      <c r="K206" s="2" t="n">
        <f aca="false">IF(AND(E206&lt;&gt;"",G206&lt;&gt;"",J206&gt;0),IF(I206&gt;=Inputs!$B$6,1,0),0)</f>
        <v>1</v>
      </c>
      <c r="L206" s="5" t="n">
        <v>0</v>
      </c>
      <c r="M206" s="5" t="n">
        <v>1467.0079</v>
      </c>
      <c r="N206" s="5" t="n">
        <v>7.43</v>
      </c>
      <c r="O206" s="4" t="s">
        <v>64</v>
      </c>
      <c r="P206" s="2" t="n">
        <f aca="false">IF(K206=1,J206/G206^2,0)</f>
        <v>0.859247197719929</v>
      </c>
      <c r="Q206" s="2" t="n">
        <f aca="false">IF(K206=1,((E206-Result!$B$7*D206)/G206)^2,0)</f>
        <v>0.746263111758209</v>
      </c>
    </row>
    <row r="207" customFormat="false" ht="15" hidden="false" customHeight="false" outlineLevel="0" collapsed="false">
      <c r="A207" s="4" t="s">
        <v>40</v>
      </c>
      <c r="B207" s="4" t="s">
        <v>270</v>
      </c>
      <c r="C207" s="4" t="s">
        <v>63</v>
      </c>
      <c r="D207" s="5" t="n">
        <v>1395.6613</v>
      </c>
      <c r="E207" s="5" t="n">
        <v>6.13</v>
      </c>
      <c r="F207" s="5" t="n">
        <v>0.00506419286283053</v>
      </c>
      <c r="G207" s="5" t="n">
        <v>1.0788</v>
      </c>
      <c r="H207" s="2" t="n">
        <f aca="false">D207*F207</f>
        <v>7.06789799438878</v>
      </c>
      <c r="I207" s="2" t="n">
        <f aca="false">IF(G207="","",D207*1000000/Inputs!$B$4^2*Inputs!$B$5/G207)</f>
        <v>6.57429248267815</v>
      </c>
      <c r="J207" s="2" t="n">
        <f aca="false">IF(C207="A",Inputs!$B$7,IF(C207="B",Inputs!$B$8,IF(C207="C",Inputs!$B$9,0)))</f>
        <v>1</v>
      </c>
      <c r="K207" s="2" t="n">
        <f aca="false">IF(AND(E207&lt;&gt;"",G207&lt;&gt;"",J207&gt;0),IF(I207&gt;=Inputs!$B$6,1,0),0)</f>
        <v>1</v>
      </c>
      <c r="L207" s="5" t="n">
        <v>0</v>
      </c>
      <c r="M207" s="5" t="n">
        <v>1396.0038</v>
      </c>
      <c r="N207" s="5" t="n">
        <v>7.07</v>
      </c>
      <c r="O207" s="4" t="s">
        <v>64</v>
      </c>
      <c r="P207" s="2" t="n">
        <f aca="false">IF(K207=1,J207/G207^2,0)</f>
        <v>0.859247197719929</v>
      </c>
      <c r="Q207" s="2" t="n">
        <f aca="false">IF(K207=1,((E207-Result!$B$7*D207)/G207)^2,0)</f>
        <v>0.732336528367705</v>
      </c>
    </row>
    <row r="208" customFormat="false" ht="15" hidden="false" customHeight="false" outlineLevel="0" collapsed="false">
      <c r="A208" s="4" t="s">
        <v>40</v>
      </c>
      <c r="B208" s="4" t="s">
        <v>271</v>
      </c>
      <c r="C208" s="4"/>
      <c r="D208" s="5" t="n">
        <v>744.2023</v>
      </c>
      <c r="E208" s="5"/>
      <c r="F208" s="5" t="n">
        <v>0.00506423498467974</v>
      </c>
      <c r="G208" s="5" t="n">
        <v>1.0788</v>
      </c>
      <c r="H208" s="2" t="n">
        <f aca="false">D208*F208</f>
        <v>3.76881532333912</v>
      </c>
      <c r="I208" s="2" t="n">
        <f aca="false">IF(G208="","",D208*1000000/Inputs!$B$4^2*Inputs!$B$5/G208)</f>
        <v>3.50558089307326</v>
      </c>
      <c r="J208" s="2" t="n">
        <f aca="false">IF(C208="A",Inputs!$B$7,IF(C208="B",Inputs!$B$8,IF(C208="C",Inputs!$B$9,0)))</f>
        <v>0</v>
      </c>
      <c r="K208" s="2" t="n">
        <f aca="false">IF(AND(E208&lt;&gt;"",G208&lt;&gt;"",J208&gt;0),IF(I208&gt;=Inputs!$B$6,1,0),0)</f>
        <v>0</v>
      </c>
      <c r="L208" s="5" t="n">
        <v>0</v>
      </c>
      <c r="M208" s="5" t="n">
        <v>744.2023</v>
      </c>
      <c r="N208" s="5" t="n">
        <v>3.77</v>
      </c>
      <c r="O208" s="4" t="s">
        <v>272</v>
      </c>
      <c r="P208" s="2" t="n">
        <f aca="false">IF(K208=1,J208/G208^2,0)</f>
        <v>0</v>
      </c>
      <c r="Q208" s="2" t="n">
        <f aca="false">IF(K208=1,((E208-Result!$B$7*D208)/G208)^2,0)</f>
        <v>0</v>
      </c>
    </row>
    <row r="209" customFormat="false" ht="15" hidden="false" customHeight="false" outlineLevel="0" collapsed="false">
      <c r="A209" s="4" t="s">
        <v>40</v>
      </c>
      <c r="B209" s="4" t="s">
        <v>273</v>
      </c>
      <c r="C209" s="4" t="s">
        <v>63</v>
      </c>
      <c r="D209" s="5" t="n">
        <v>748.8146</v>
      </c>
      <c r="E209" s="5" t="n">
        <v>4.55</v>
      </c>
      <c r="F209" s="5" t="n">
        <v>0.00506409094132309</v>
      </c>
      <c r="G209" s="5" t="n">
        <v>1.0788</v>
      </c>
      <c r="H209" s="2" t="n">
        <f aca="false">D209*F209</f>
        <v>3.79206523259048</v>
      </c>
      <c r="I209" s="2" t="n">
        <f aca="false">IF(G209="","",D209*1000000/Inputs!$B$4^2*Inputs!$B$5/G209)</f>
        <v>3.52730723113097</v>
      </c>
      <c r="J209" s="2" t="n">
        <f aca="false">IF(C209="A",Inputs!$B$7,IF(C209="B",Inputs!$B$8,IF(C209="C",Inputs!$B$9,0)))</f>
        <v>1</v>
      </c>
      <c r="K209" s="2" t="n">
        <f aca="false">IF(AND(E209&lt;&gt;"",G209&lt;&gt;"",J209&gt;0),IF(I209&gt;=Inputs!$B$6,1,0),0)</f>
        <v>1</v>
      </c>
      <c r="L209" s="5" t="n">
        <v>0</v>
      </c>
      <c r="M209" s="5" t="n">
        <v>748.9948</v>
      </c>
      <c r="N209" s="5" t="n">
        <v>3.79</v>
      </c>
      <c r="O209" s="4" t="s">
        <v>64</v>
      </c>
      <c r="P209" s="2" t="n">
        <f aca="false">IF(K209=1,J209/G209^2,0)</f>
        <v>0.859247197719929</v>
      </c>
      <c r="Q209" s="2" t="n">
        <f aca="false">IF(K209=1,((E209-Result!$B$7*D209)/G209)^2,0)</f>
        <v>0.503831261636534</v>
      </c>
    </row>
    <row r="210" customFormat="false" ht="15" hidden="false" customHeight="false" outlineLevel="0" collapsed="false">
      <c r="A210" s="4" t="s">
        <v>40</v>
      </c>
      <c r="B210" s="4" t="s">
        <v>274</v>
      </c>
      <c r="C210" s="4" t="s">
        <v>63</v>
      </c>
      <c r="D210" s="5" t="n">
        <v>759.4337</v>
      </c>
      <c r="E210" s="5" t="n">
        <v>2.46</v>
      </c>
      <c r="F210" s="5" t="n">
        <v>0.00506387698855485</v>
      </c>
      <c r="G210" s="5" t="n">
        <v>1.0788</v>
      </c>
      <c r="H210" s="2" t="n">
        <f aca="false">D210*F210</f>
        <v>3.84567883776307</v>
      </c>
      <c r="I210" s="2" t="n">
        <f aca="false">IF(G210="","",D210*1000000/Inputs!$B$4^2*Inputs!$B$5/G210)</f>
        <v>3.5773287294005</v>
      </c>
      <c r="J210" s="2" t="n">
        <f aca="false">IF(C210="A",Inputs!$B$7,IF(C210="B",Inputs!$B$8,IF(C210="C",Inputs!$B$9,0)))</f>
        <v>1</v>
      </c>
      <c r="K210" s="2" t="n">
        <f aca="false">IF(AND(E210&lt;&gt;"",G210&lt;&gt;"",J210&gt;0),IF(I210&gt;=Inputs!$B$6,1,0),0)</f>
        <v>1</v>
      </c>
      <c r="L210" s="5" t="n">
        <v>0</v>
      </c>
      <c r="M210" s="5" t="n">
        <v>759.6183</v>
      </c>
      <c r="N210" s="5" t="n">
        <v>3.85</v>
      </c>
      <c r="O210" s="4" t="s">
        <v>64</v>
      </c>
      <c r="P210" s="2" t="n">
        <f aca="false">IF(K210=1,J210/G210^2,0)</f>
        <v>0.859247197719929</v>
      </c>
      <c r="Q210" s="2" t="n">
        <f aca="false">IF(K210=1,((E210-Result!$B$7*D210)/G210)^2,0)</f>
        <v>1.63142495903645</v>
      </c>
    </row>
    <row r="211" customFormat="false" ht="15" hidden="false" customHeight="false" outlineLevel="0" collapsed="false">
      <c r="A211" s="4" t="s">
        <v>40</v>
      </c>
      <c r="B211" s="4" t="s">
        <v>275</v>
      </c>
      <c r="C211" s="4" t="s">
        <v>63</v>
      </c>
      <c r="D211" s="5" t="n">
        <v>308.5125</v>
      </c>
      <c r="E211" s="5" t="n">
        <v>2.23</v>
      </c>
      <c r="F211" s="5" t="n">
        <v>0.00506381642664257</v>
      </c>
      <c r="G211" s="5" t="n">
        <v>1.0788</v>
      </c>
      <c r="H211" s="2" t="n">
        <f aca="false">D211*F211</f>
        <v>1.56225066532457</v>
      </c>
      <c r="I211" s="2" t="n">
        <f aca="false">IF(G211="","",D211*1000000/Inputs!$B$4^2*Inputs!$B$5/G211)</f>
        <v>1.45325474709533</v>
      </c>
      <c r="J211" s="2" t="n">
        <f aca="false">IF(C211="A",Inputs!$B$7,IF(C211="B",Inputs!$B$8,IF(C211="C",Inputs!$B$9,0)))</f>
        <v>1</v>
      </c>
      <c r="K211" s="2" t="n">
        <f aca="false">IF(AND(E211&lt;&gt;"",G211&lt;&gt;"",J211&gt;0),IF(I211&gt;=Inputs!$B$6,1,0),0)</f>
        <v>0</v>
      </c>
      <c r="L211" s="5" t="n">
        <v>0</v>
      </c>
      <c r="M211" s="5" t="n">
        <v>308.5861</v>
      </c>
      <c r="N211" s="5" t="n">
        <v>1.56</v>
      </c>
      <c r="O211" s="4" t="s">
        <v>64</v>
      </c>
      <c r="P211" s="2" t="n">
        <f aca="false">IF(K211=1,J211/G211^2,0)</f>
        <v>0</v>
      </c>
      <c r="Q211" s="2" t="n">
        <f aca="false">IF(K211=1,((E211-Result!$B$7*D211)/G211)^2,0)</f>
        <v>0</v>
      </c>
    </row>
    <row r="212" customFormat="false" ht="15" hidden="false" customHeight="false" outlineLevel="0" collapsed="false">
      <c r="A212" s="4" t="s">
        <v>40</v>
      </c>
      <c r="B212" s="4" t="s">
        <v>276</v>
      </c>
      <c r="C212" s="4"/>
      <c r="D212" s="5" t="n">
        <v>413.7661</v>
      </c>
      <c r="E212" s="5"/>
      <c r="F212" s="5" t="n">
        <v>0.0050631892780271</v>
      </c>
      <c r="G212" s="5" t="n">
        <v>1.0788</v>
      </c>
      <c r="H212" s="2" t="n">
        <f aca="false">D212*F212</f>
        <v>2.09497608113109</v>
      </c>
      <c r="I212" s="2" t="n">
        <f aca="false">IF(G212="","",D212*1000000/Inputs!$B$4^2*Inputs!$B$5/G212)</f>
        <v>1.94905408698877</v>
      </c>
      <c r="J212" s="2" t="n">
        <f aca="false">IF(C212="A",Inputs!$B$7,IF(C212="B",Inputs!$B$8,IF(C212="C",Inputs!$B$9,0)))</f>
        <v>0</v>
      </c>
      <c r="K212" s="2" t="n">
        <f aca="false">IF(AND(E212&lt;&gt;"",G212&lt;&gt;"",J212&gt;0),IF(I212&gt;=Inputs!$B$6,1,0),0)</f>
        <v>0</v>
      </c>
      <c r="L212" s="5" t="n">
        <v>0</v>
      </c>
      <c r="M212" s="5" t="n">
        <v>413.7661</v>
      </c>
      <c r="N212" s="5"/>
      <c r="O212" s="4" t="s">
        <v>64</v>
      </c>
      <c r="P212" s="2" t="n">
        <f aca="false">IF(K212=1,J212/G212^2,0)</f>
        <v>0</v>
      </c>
      <c r="Q212" s="2" t="n">
        <f aca="false">IF(K212=1,((E212-Result!$B$7*D212)/G212)^2,0)</f>
        <v>0</v>
      </c>
    </row>
    <row r="213" customFormat="false" ht="15" hidden="false" customHeight="false" outlineLevel="0" collapsed="false">
      <c r="A213" s="4" t="s">
        <v>40</v>
      </c>
      <c r="B213" s="4" t="s">
        <v>277</v>
      </c>
      <c r="C213" s="4"/>
      <c r="D213" s="5" t="n">
        <v>3037.4253</v>
      </c>
      <c r="E213" s="5"/>
      <c r="F213" s="5" t="n">
        <v>0.00506304440296004</v>
      </c>
      <c r="G213" s="5" t="n">
        <v>1.0788</v>
      </c>
      <c r="H213" s="2" t="n">
        <f aca="false">D213*F213</f>
        <v>15.3786191645742</v>
      </c>
      <c r="I213" s="2" t="n">
        <f aca="false">IF(G213="","",D213*1000000/Inputs!$B$4^2*Inputs!$B$5/G213)</f>
        <v>14.307857011215</v>
      </c>
      <c r="J213" s="2" t="n">
        <f aca="false">IF(C213="A",Inputs!$B$7,IF(C213="B",Inputs!$B$8,IF(C213="C",Inputs!$B$9,0)))</f>
        <v>0</v>
      </c>
      <c r="K213" s="2" t="n">
        <f aca="false">IF(AND(E213&lt;&gt;"",G213&lt;&gt;"",J213&gt;0),IF(I213&gt;=Inputs!$B$6,1,0),0)</f>
        <v>0</v>
      </c>
      <c r="L213" s="5" t="n">
        <v>0</v>
      </c>
      <c r="M213" s="5" t="n">
        <v>3037.4253</v>
      </c>
      <c r="N213" s="5"/>
      <c r="O213" s="4" t="s">
        <v>64</v>
      </c>
      <c r="P213" s="2" t="n">
        <f aca="false">IF(K213=1,J213/G213^2,0)</f>
        <v>0</v>
      </c>
      <c r="Q213" s="2" t="n">
        <f aca="false">IF(K213=1,((E213-Result!$B$7*D213)/G213)^2,0)</f>
        <v>0</v>
      </c>
    </row>
    <row r="214" customFormat="false" ht="15" hidden="false" customHeight="false" outlineLevel="0" collapsed="false">
      <c r="A214" s="4" t="s">
        <v>40</v>
      </c>
      <c r="B214" s="4" t="s">
        <v>278</v>
      </c>
      <c r="C214" s="4"/>
      <c r="D214" s="5" t="n">
        <v>1041.7544</v>
      </c>
      <c r="E214" s="5"/>
      <c r="F214" s="5" t="n">
        <v>0.00506314693218161</v>
      </c>
      <c r="G214" s="5" t="n">
        <v>1.0788</v>
      </c>
      <c r="H214" s="2" t="n">
        <f aca="false">D214*F214</f>
        <v>5.27455559444669</v>
      </c>
      <c r="I214" s="2" t="n">
        <f aca="false">IF(G214="","",D214*1000000/Inputs!$B$4^2*Inputs!$B$5/G214)</f>
        <v>4.90720644093011</v>
      </c>
      <c r="J214" s="2" t="n">
        <f aca="false">IF(C214="A",Inputs!$B$7,IF(C214="B",Inputs!$B$8,IF(C214="C",Inputs!$B$9,0)))</f>
        <v>0</v>
      </c>
      <c r="K214" s="2" t="n">
        <f aca="false">IF(AND(E214&lt;&gt;"",G214&lt;&gt;"",J214&gt;0),IF(I214&gt;=Inputs!$B$6,1,0),0)</f>
        <v>0</v>
      </c>
      <c r="L214" s="5" t="n">
        <v>0</v>
      </c>
      <c r="M214" s="5" t="n">
        <v>1041.7544</v>
      </c>
      <c r="N214" s="5"/>
      <c r="O214" s="4" t="s">
        <v>64</v>
      </c>
      <c r="P214" s="2" t="n">
        <f aca="false">IF(K214=1,J214/G214^2,0)</f>
        <v>0</v>
      </c>
      <c r="Q214" s="2" t="n">
        <f aca="false">IF(K214=1,((E214-Result!$B$7*D214)/G214)^2,0)</f>
        <v>0</v>
      </c>
    </row>
    <row r="215" customFormat="false" ht="15" hidden="false" customHeight="false" outlineLevel="0" collapsed="false">
      <c r="A215" s="4" t="s">
        <v>40</v>
      </c>
      <c r="B215" s="4" t="s">
        <v>279</v>
      </c>
      <c r="C215" s="4"/>
      <c r="D215" s="5" t="n">
        <v>506.1764</v>
      </c>
      <c r="E215" s="5"/>
      <c r="F215" s="5" t="n">
        <v>0.00506317287768517</v>
      </c>
      <c r="G215" s="5" t="n">
        <v>1.0788</v>
      </c>
      <c r="H215" s="2" t="n">
        <f aca="false">D215*F215</f>
        <v>2.56285861980432</v>
      </c>
      <c r="I215" s="2" t="n">
        <f aca="false">IF(G215="","",D215*1000000/Inputs!$B$4^2*Inputs!$B$5/G215)</f>
        <v>2.38435478681618</v>
      </c>
      <c r="J215" s="2" t="n">
        <f aca="false">IF(C215="A",Inputs!$B$7,IF(C215="B",Inputs!$B$8,IF(C215="C",Inputs!$B$9,0)))</f>
        <v>0</v>
      </c>
      <c r="K215" s="2" t="n">
        <f aca="false">IF(AND(E215&lt;&gt;"",G215&lt;&gt;"",J215&gt;0),IF(I215&gt;=Inputs!$B$6,1,0),0)</f>
        <v>0</v>
      </c>
      <c r="L215" s="5" t="n">
        <v>0</v>
      </c>
      <c r="M215" s="5" t="n">
        <v>506.1764</v>
      </c>
      <c r="N215" s="5"/>
      <c r="O215" s="4" t="s">
        <v>64</v>
      </c>
      <c r="P215" s="2" t="n">
        <f aca="false">IF(K215=1,J215/G215^2,0)</f>
        <v>0</v>
      </c>
      <c r="Q215" s="2" t="n">
        <f aca="false">IF(K215=1,((E215-Result!$B$7*D215)/G215)^2,0)</f>
        <v>0</v>
      </c>
    </row>
    <row r="216" customFormat="false" ht="15" hidden="false" customHeight="false" outlineLevel="0" collapsed="false">
      <c r="A216" s="4" t="s">
        <v>40</v>
      </c>
      <c r="B216" s="4" t="s">
        <v>280</v>
      </c>
      <c r="C216" s="4"/>
      <c r="D216" s="5" t="n">
        <v>694.1578</v>
      </c>
      <c r="E216" s="5"/>
      <c r="F216" s="5" t="n">
        <v>0.00506343717561683</v>
      </c>
      <c r="G216" s="5" t="n">
        <v>1.0788</v>
      </c>
      <c r="H216" s="2" t="n">
        <f aca="false">D216*F216</f>
        <v>3.51482441026439</v>
      </c>
      <c r="I216" s="2" t="n">
        <f aca="false">IF(G216="","",D216*1000000/Inputs!$B$4^2*Inputs!$B$5/G216)</f>
        <v>3.26984520265225</v>
      </c>
      <c r="J216" s="2" t="n">
        <f aca="false">IF(C216="A",Inputs!$B$7,IF(C216="B",Inputs!$B$8,IF(C216="C",Inputs!$B$9,0)))</f>
        <v>0</v>
      </c>
      <c r="K216" s="2" t="n">
        <f aca="false">IF(AND(E216&lt;&gt;"",G216&lt;&gt;"",J216&gt;0),IF(I216&gt;=Inputs!$B$6,1,0),0)</f>
        <v>0</v>
      </c>
      <c r="L216" s="5" t="n">
        <v>0</v>
      </c>
      <c r="M216" s="5" t="n">
        <v>694.1578</v>
      </c>
      <c r="N216" s="5"/>
      <c r="O216" s="4" t="s">
        <v>64</v>
      </c>
      <c r="P216" s="2" t="n">
        <f aca="false">IF(K216=1,J216/G216^2,0)</f>
        <v>0</v>
      </c>
      <c r="Q216" s="2" t="n">
        <f aca="false">IF(K216=1,((E216-Result!$B$7*D216)/G216)^2,0)</f>
        <v>0</v>
      </c>
    </row>
    <row r="217" customFormat="false" ht="15" hidden="false" customHeight="false" outlineLevel="0" collapsed="false">
      <c r="A217" s="4" t="s">
        <v>40</v>
      </c>
      <c r="B217" s="4" t="s">
        <v>281</v>
      </c>
      <c r="C217" s="4"/>
      <c r="D217" s="5" t="n">
        <v>741.3652</v>
      </c>
      <c r="E217" s="5"/>
      <c r="F217" s="5" t="n">
        <v>0.00506340690482965</v>
      </c>
      <c r="G217" s="5" t="n">
        <v>1.0788</v>
      </c>
      <c r="H217" s="2" t="n">
        <f aca="false">D217*F217</f>
        <v>3.75383367268042</v>
      </c>
      <c r="I217" s="2" t="n">
        <f aca="false">IF(G217="","",D217*1000000/Inputs!$B$4^2*Inputs!$B$5/G217)</f>
        <v>3.49221667268354</v>
      </c>
      <c r="J217" s="2" t="n">
        <f aca="false">IF(C217="A",Inputs!$B$7,IF(C217="B",Inputs!$B$8,IF(C217="C",Inputs!$B$9,0)))</f>
        <v>0</v>
      </c>
      <c r="K217" s="2" t="n">
        <f aca="false">IF(AND(E217&lt;&gt;"",G217&lt;&gt;"",J217&gt;0),IF(I217&gt;=Inputs!$B$6,1,0),0)</f>
        <v>0</v>
      </c>
      <c r="L217" s="5" t="n">
        <v>0</v>
      </c>
      <c r="M217" s="5" t="n">
        <v>741.3652</v>
      </c>
      <c r="N217" s="5"/>
      <c r="O217" s="4" t="s">
        <v>64</v>
      </c>
      <c r="P217" s="2" t="n">
        <f aca="false">IF(K217=1,J217/G217^2,0)</f>
        <v>0</v>
      </c>
      <c r="Q217" s="2" t="n">
        <f aca="false">IF(K217=1,((E217-Result!$B$7*D217)/G217)^2,0)</f>
        <v>0</v>
      </c>
    </row>
    <row r="218" customFormat="false" ht="15" hidden="false" customHeight="false" outlineLevel="0" collapsed="false">
      <c r="A218" s="4" t="s">
        <v>40</v>
      </c>
      <c r="B218" s="4" t="s">
        <v>282</v>
      </c>
      <c r="C218" s="4"/>
      <c r="D218" s="5" t="n">
        <v>2833.2088</v>
      </c>
      <c r="E218" s="5"/>
      <c r="F218" s="5" t="n">
        <v>0.00506321523080992</v>
      </c>
      <c r="G218" s="5" t="n">
        <v>1.0788</v>
      </c>
      <c r="H218" s="2" t="n">
        <f aca="false">D218*F218</f>
        <v>14.3451459482247</v>
      </c>
      <c r="I218" s="2" t="n">
        <f aca="false">IF(G218="","",D218*1000000/Inputs!$B$4^2*Inputs!$B$5/G218)</f>
        <v>13.345890808678</v>
      </c>
      <c r="J218" s="2" t="n">
        <f aca="false">IF(C218="A",Inputs!$B$7,IF(C218="B",Inputs!$B$8,IF(C218="C",Inputs!$B$9,0)))</f>
        <v>0</v>
      </c>
      <c r="K218" s="2" t="n">
        <f aca="false">IF(AND(E218&lt;&gt;"",G218&lt;&gt;"",J218&gt;0),IF(I218&gt;=Inputs!$B$6,1,0),0)</f>
        <v>0</v>
      </c>
      <c r="L218" s="5" t="n">
        <v>0</v>
      </c>
      <c r="M218" s="5" t="n">
        <v>2833.2088</v>
      </c>
      <c r="N218" s="5"/>
      <c r="O218" s="4" t="s">
        <v>64</v>
      </c>
      <c r="P218" s="2" t="n">
        <f aca="false">IF(K218=1,J218/G218^2,0)</f>
        <v>0</v>
      </c>
      <c r="Q218" s="2" t="n">
        <f aca="false">IF(K218=1,((E218-Result!$B$7*D218)/G218)^2,0)</f>
        <v>0</v>
      </c>
    </row>
    <row r="219" customFormat="false" ht="15" hidden="false" customHeight="false" outlineLevel="0" collapsed="false">
      <c r="A219" s="4" t="s">
        <v>40</v>
      </c>
      <c r="B219" s="4" t="s">
        <v>278</v>
      </c>
      <c r="C219" s="4"/>
      <c r="D219" s="5" t="n">
        <v>1041.7544</v>
      </c>
      <c r="E219" s="5"/>
      <c r="F219" s="5" t="n">
        <v>0.00506314693218161</v>
      </c>
      <c r="G219" s="5" t="n">
        <v>1.0788</v>
      </c>
      <c r="H219" s="2" t="n">
        <f aca="false">D219*F219</f>
        <v>5.27455559444669</v>
      </c>
      <c r="I219" s="2" t="n">
        <f aca="false">IF(G219="","",D219*1000000/Inputs!$B$4^2*Inputs!$B$5/G219)</f>
        <v>4.90720644093011</v>
      </c>
      <c r="J219" s="2" t="n">
        <f aca="false">IF(C219="A",Inputs!$B$7,IF(C219="B",Inputs!$B$8,IF(C219="C",Inputs!$B$9,0)))</f>
        <v>0</v>
      </c>
      <c r="K219" s="2" t="n">
        <f aca="false">IF(AND(E219&lt;&gt;"",G219&lt;&gt;"",J219&gt;0),IF(I219&gt;=Inputs!$B$6,1,0),0)</f>
        <v>0</v>
      </c>
      <c r="L219" s="5" t="n">
        <v>0</v>
      </c>
      <c r="M219" s="5" t="n">
        <v>1041.7544</v>
      </c>
      <c r="N219" s="5"/>
      <c r="O219" s="4" t="s">
        <v>64</v>
      </c>
      <c r="P219" s="2" t="n">
        <f aca="false">IF(K219=1,J219/G219^2,0)</f>
        <v>0</v>
      </c>
      <c r="Q219" s="2" t="n">
        <f aca="false">IF(K219=1,((E219-Result!$B$7*D219)/G219)^2,0)</f>
        <v>0</v>
      </c>
    </row>
    <row r="220" customFormat="false" ht="15" hidden="false" customHeight="false" outlineLevel="0" collapsed="false">
      <c r="A220" s="4" t="s">
        <v>40</v>
      </c>
      <c r="B220" s="4" t="s">
        <v>279</v>
      </c>
      <c r="C220" s="4"/>
      <c r="D220" s="5" t="n">
        <v>506.1764</v>
      </c>
      <c r="E220" s="5"/>
      <c r="F220" s="5" t="n">
        <v>0.00506317287768517</v>
      </c>
      <c r="G220" s="5" t="n">
        <v>1.0788</v>
      </c>
      <c r="H220" s="2" t="n">
        <f aca="false">D220*F220</f>
        <v>2.56285861980432</v>
      </c>
      <c r="I220" s="2" t="n">
        <f aca="false">IF(G220="","",D220*1000000/Inputs!$B$4^2*Inputs!$B$5/G220)</f>
        <v>2.38435478681618</v>
      </c>
      <c r="J220" s="2" t="n">
        <f aca="false">IF(C220="A",Inputs!$B$7,IF(C220="B",Inputs!$B$8,IF(C220="C",Inputs!$B$9,0)))</f>
        <v>0</v>
      </c>
      <c r="K220" s="2" t="n">
        <f aca="false">IF(AND(E220&lt;&gt;"",G220&lt;&gt;"",J220&gt;0),IF(I220&gt;=Inputs!$B$6,1,0),0)</f>
        <v>0</v>
      </c>
      <c r="L220" s="5" t="n">
        <v>0</v>
      </c>
      <c r="M220" s="5" t="n">
        <v>506.1764</v>
      </c>
      <c r="N220" s="5"/>
      <c r="O220" s="4" t="s">
        <v>64</v>
      </c>
      <c r="P220" s="2" t="n">
        <f aca="false">IF(K220=1,J220/G220^2,0)</f>
        <v>0</v>
      </c>
      <c r="Q220" s="2" t="n">
        <f aca="false">IF(K220=1,((E220-Result!$B$7*D220)/G220)^2,0)</f>
        <v>0</v>
      </c>
    </row>
    <row r="221" customFormat="false" ht="15" hidden="false" customHeight="false" outlineLevel="0" collapsed="false">
      <c r="A221" s="4" t="s">
        <v>40</v>
      </c>
      <c r="B221" s="4" t="s">
        <v>283</v>
      </c>
      <c r="C221" s="4"/>
      <c r="D221" s="5" t="n">
        <v>513.8551</v>
      </c>
      <c r="E221" s="5"/>
      <c r="F221" s="5" t="n">
        <v>0.00506349686296598</v>
      </c>
      <c r="G221" s="5" t="n">
        <v>1.0788</v>
      </c>
      <c r="H221" s="2" t="n">
        <f aca="false">D221*F221</f>
        <v>2.60190368686907</v>
      </c>
      <c r="I221" s="2" t="n">
        <f aca="false">IF(G221="","",D221*1000000/Inputs!$B$4^2*Inputs!$B$5/G221)</f>
        <v>2.42052546783079</v>
      </c>
      <c r="J221" s="2" t="n">
        <f aca="false">IF(C221="A",Inputs!$B$7,IF(C221="B",Inputs!$B$8,IF(C221="C",Inputs!$B$9,0)))</f>
        <v>0</v>
      </c>
      <c r="K221" s="2" t="n">
        <f aca="false">IF(AND(E221&lt;&gt;"",G221&lt;&gt;"",J221&gt;0),IF(I221&gt;=Inputs!$B$6,1,0),0)</f>
        <v>0</v>
      </c>
      <c r="L221" s="5" t="n">
        <v>0</v>
      </c>
      <c r="M221" s="5" t="n">
        <v>513.8551</v>
      </c>
      <c r="N221" s="5"/>
      <c r="O221" s="4" t="s">
        <v>64</v>
      </c>
      <c r="P221" s="2" t="n">
        <f aca="false">IF(K221=1,J221/G221^2,0)</f>
        <v>0</v>
      </c>
      <c r="Q221" s="2" t="n">
        <f aca="false">IF(K221=1,((E221-Result!$B$7*D221)/G221)^2,0)</f>
        <v>0</v>
      </c>
    </row>
    <row r="222" customFormat="false" ht="15" hidden="false" customHeight="false" outlineLevel="0" collapsed="false">
      <c r="A222" s="4" t="s">
        <v>40</v>
      </c>
      <c r="B222" s="4" t="s">
        <v>284</v>
      </c>
      <c r="C222" s="4"/>
      <c r="D222" s="5" t="n">
        <v>639.9915</v>
      </c>
      <c r="E222" s="5"/>
      <c r="F222" s="5" t="n">
        <v>0.00506353064286729</v>
      </c>
      <c r="G222" s="5" t="n">
        <v>1.0788</v>
      </c>
      <c r="H222" s="2" t="n">
        <f aca="false">D222*F222</f>
        <v>3.2406165714246</v>
      </c>
      <c r="I222" s="2" t="n">
        <f aca="false">IF(G222="","",D222*1000000/Inputs!$B$4^2*Inputs!$B$5/G222)</f>
        <v>3.01469368494198</v>
      </c>
      <c r="J222" s="2" t="n">
        <f aca="false">IF(C222="A",Inputs!$B$7,IF(C222="B",Inputs!$B$8,IF(C222="C",Inputs!$B$9,0)))</f>
        <v>0</v>
      </c>
      <c r="K222" s="2" t="n">
        <f aca="false">IF(AND(E222&lt;&gt;"",G222&lt;&gt;"",J222&gt;0),IF(I222&gt;=Inputs!$B$6,1,0),0)</f>
        <v>0</v>
      </c>
      <c r="L222" s="5" t="n">
        <v>0</v>
      </c>
      <c r="M222" s="5" t="n">
        <v>639.9915</v>
      </c>
      <c r="N222" s="5"/>
      <c r="O222" s="4" t="s">
        <v>64</v>
      </c>
      <c r="P222" s="2" t="n">
        <f aca="false">IF(K222=1,J222/G222^2,0)</f>
        <v>0</v>
      </c>
      <c r="Q222" s="2" t="n">
        <f aca="false">IF(K222=1,((E222-Result!$B$7*D222)/G222)^2,0)</f>
        <v>0</v>
      </c>
    </row>
    <row r="223" customFormat="false" ht="15" hidden="false" customHeight="false" outlineLevel="0" collapsed="false">
      <c r="A223" s="4" t="s">
        <v>40</v>
      </c>
      <c r="B223" s="4" t="s">
        <v>285</v>
      </c>
      <c r="C223" s="4"/>
      <c r="D223" s="5" t="n">
        <v>1961.7068</v>
      </c>
      <c r="E223" s="5"/>
      <c r="F223" s="5" t="n">
        <v>0.00506346658069157</v>
      </c>
      <c r="G223" s="5" t="n">
        <v>1.0788</v>
      </c>
      <c r="H223" s="2" t="n">
        <f aca="false">D223*F223</f>
        <v>9.9330368229154</v>
      </c>
      <c r="I223" s="2" t="n">
        <f aca="false">IF(G223="","",D223*1000000/Inputs!$B$4^2*Inputs!$B$5/G223)</f>
        <v>9.24066194889735</v>
      </c>
      <c r="J223" s="2" t="n">
        <f aca="false">IF(C223="A",Inputs!$B$7,IF(C223="B",Inputs!$B$8,IF(C223="C",Inputs!$B$9,0)))</f>
        <v>0</v>
      </c>
      <c r="K223" s="2" t="n">
        <f aca="false">IF(AND(E223&lt;&gt;"",G223&lt;&gt;"",J223&gt;0),IF(I223&gt;=Inputs!$B$6,1,0),0)</f>
        <v>0</v>
      </c>
      <c r="L223" s="5" t="n">
        <v>0</v>
      </c>
      <c r="M223" s="5" t="n">
        <v>1961.7068</v>
      </c>
      <c r="N223" s="5"/>
      <c r="O223" s="4" t="s">
        <v>64</v>
      </c>
      <c r="P223" s="2" t="n">
        <f aca="false">IF(K223=1,J223/G223^2,0)</f>
        <v>0</v>
      </c>
      <c r="Q223" s="2" t="n">
        <f aca="false">IF(K223=1,((E223-Result!$B$7*D223)/G223)^2,0)</f>
        <v>0</v>
      </c>
    </row>
    <row r="224" customFormat="false" ht="15" hidden="false" customHeight="false" outlineLevel="0" collapsed="false">
      <c r="A224" s="4" t="s">
        <v>40</v>
      </c>
      <c r="B224" s="4" t="s">
        <v>282</v>
      </c>
      <c r="C224" s="4"/>
      <c r="D224" s="5" t="n">
        <v>2833.2088</v>
      </c>
      <c r="E224" s="5"/>
      <c r="F224" s="5" t="n">
        <v>0.00506321523080992</v>
      </c>
      <c r="G224" s="5" t="n">
        <v>1.0788</v>
      </c>
      <c r="H224" s="2" t="n">
        <f aca="false">D224*F224</f>
        <v>14.3451459482247</v>
      </c>
      <c r="I224" s="2" t="n">
        <f aca="false">IF(G224="","",D224*1000000/Inputs!$B$4^2*Inputs!$B$5/G224)</f>
        <v>13.345890808678</v>
      </c>
      <c r="J224" s="2" t="n">
        <f aca="false">IF(C224="A",Inputs!$B$7,IF(C224="B",Inputs!$B$8,IF(C224="C",Inputs!$B$9,0)))</f>
        <v>0</v>
      </c>
      <c r="K224" s="2" t="n">
        <f aca="false">IF(AND(E224&lt;&gt;"",G224&lt;&gt;"",J224&gt;0),IF(I224&gt;=Inputs!$B$6,1,0),0)</f>
        <v>0</v>
      </c>
      <c r="L224" s="5" t="n">
        <v>0</v>
      </c>
      <c r="M224" s="5" t="n">
        <v>2833.2088</v>
      </c>
      <c r="N224" s="5"/>
      <c r="O224" s="4" t="s">
        <v>64</v>
      </c>
      <c r="P224" s="2" t="n">
        <f aca="false">IF(K224=1,J224/G224^2,0)</f>
        <v>0</v>
      </c>
      <c r="Q224" s="2" t="n">
        <f aca="false">IF(K224=1,((E224-Result!$B$7*D224)/G224)^2,0)</f>
        <v>0</v>
      </c>
    </row>
    <row r="225" customFormat="false" ht="15" hidden="false" customHeight="false" outlineLevel="0" collapsed="false">
      <c r="A225" s="4" t="s">
        <v>286</v>
      </c>
      <c r="B225" s="4" t="s">
        <v>287</v>
      </c>
      <c r="C225" s="4" t="s">
        <v>81</v>
      </c>
      <c r="D225" s="5" t="n">
        <v>197.7772</v>
      </c>
      <c r="E225" s="5" t="n">
        <v>-16</v>
      </c>
      <c r="F225" s="5" t="n">
        <v>0.0050720920589338</v>
      </c>
      <c r="G225" s="5" t="n">
        <v>15.2276</v>
      </c>
      <c r="H225" s="2" t="n">
        <f aca="false">D225*F225</f>
        <v>1.00314416555816</v>
      </c>
      <c r="I225" s="2" t="n">
        <f aca="false">IF(G225="","",D225*1000000/Inputs!$B$4^2*Inputs!$B$5/G225)</f>
        <v>0.066001633918304</v>
      </c>
      <c r="J225" s="2" t="n">
        <f aca="false">IF(C225="A",Inputs!$B$7,IF(C225="B",Inputs!$B$8,IF(C225="C",Inputs!$B$9,0)))</f>
        <v>0.25</v>
      </c>
      <c r="K225" s="2" t="n">
        <f aca="false">IF(AND(E225&lt;&gt;"",G225&lt;&gt;"",J225&gt;0),IF(I225&gt;=Inputs!$B$6,1,0),0)</f>
        <v>0</v>
      </c>
      <c r="L225" s="5" t="n">
        <v>0</v>
      </c>
      <c r="M225" s="5" t="n">
        <v>197.7772</v>
      </c>
      <c r="N225" s="5"/>
      <c r="O225" s="4" t="s">
        <v>64</v>
      </c>
      <c r="P225" s="2" t="n">
        <f aca="false">IF(K225=1,J225/G225^2,0)</f>
        <v>0</v>
      </c>
      <c r="Q225" s="2" t="n">
        <f aca="false">IF(K225=1,((E225-Result!$B$7*D225)/G225)^2,0)</f>
        <v>0</v>
      </c>
    </row>
    <row r="226" customFormat="false" ht="15" hidden="false" customHeight="false" outlineLevel="0" collapsed="false">
      <c r="A226" s="4" t="s">
        <v>286</v>
      </c>
      <c r="B226" s="4" t="s">
        <v>288</v>
      </c>
      <c r="C226" s="4" t="s">
        <v>81</v>
      </c>
      <c r="D226" s="5" t="n">
        <v>150.3903</v>
      </c>
      <c r="E226" s="5" t="n">
        <v>-14.5</v>
      </c>
      <c r="F226" s="5" t="n">
        <v>0.0050720621498132</v>
      </c>
      <c r="G226" s="5" t="n">
        <v>15.2276</v>
      </c>
      <c r="H226" s="2" t="n">
        <f aca="false">D226*F226</f>
        <v>0.762788948329053</v>
      </c>
      <c r="I226" s="2" t="n">
        <f aca="false">IF(G226="","",D226*1000000/Inputs!$B$4^2*Inputs!$B$5/G226)</f>
        <v>0.0501878150032659</v>
      </c>
      <c r="J226" s="2" t="n">
        <f aca="false">IF(C226="A",Inputs!$B$7,IF(C226="B",Inputs!$B$8,IF(C226="C",Inputs!$B$9,0)))</f>
        <v>0.25</v>
      </c>
      <c r="K226" s="2" t="n">
        <f aca="false">IF(AND(E226&lt;&gt;"",G226&lt;&gt;"",J226&gt;0),IF(I226&gt;=Inputs!$B$6,1,0),0)</f>
        <v>0</v>
      </c>
      <c r="L226" s="5" t="n">
        <v>0</v>
      </c>
      <c r="M226" s="5" t="n">
        <v>150.3903</v>
      </c>
      <c r="N226" s="5"/>
      <c r="O226" s="4" t="s">
        <v>64</v>
      </c>
      <c r="P226" s="2" t="n">
        <f aca="false">IF(K226=1,J226/G226^2,0)</f>
        <v>0</v>
      </c>
      <c r="Q226" s="2" t="n">
        <f aca="false">IF(K226=1,((E226-Result!$B$7*D226)/G226)^2,0)</f>
        <v>0</v>
      </c>
    </row>
    <row r="227" customFormat="false" ht="15" hidden="false" customHeight="false" outlineLevel="0" collapsed="false">
      <c r="A227" s="4" t="s">
        <v>286</v>
      </c>
      <c r="B227" s="4" t="s">
        <v>289</v>
      </c>
      <c r="C227" s="4" t="s">
        <v>66</v>
      </c>
      <c r="D227" s="5" t="n">
        <v>657.5522</v>
      </c>
      <c r="E227" s="5" t="n">
        <v>11</v>
      </c>
      <c r="F227" s="5" t="n">
        <v>0.00507210618473705</v>
      </c>
      <c r="G227" s="5" t="n">
        <v>15.2276</v>
      </c>
      <c r="H227" s="2" t="n">
        <f aca="false">D227*F227</f>
        <v>3.33517458040745</v>
      </c>
      <c r="I227" s="2" t="n">
        <f aca="false">IF(G227="","",D227*1000000/Inputs!$B$4^2*Inputs!$B$5/G227)</f>
        <v>0.219436414240749</v>
      </c>
      <c r="J227" s="2" t="n">
        <f aca="false">IF(C227="A",Inputs!$B$7,IF(C227="B",Inputs!$B$8,IF(C227="C",Inputs!$B$9,0)))</f>
        <v>0.5</v>
      </c>
      <c r="K227" s="2" t="n">
        <f aca="false">IF(AND(E227&lt;&gt;"",G227&lt;&gt;"",J227&gt;0),IF(I227&gt;=Inputs!$B$6,1,0),0)</f>
        <v>0</v>
      </c>
      <c r="L227" s="5" t="n">
        <v>0</v>
      </c>
      <c r="M227" s="5" t="n">
        <v>656.3388</v>
      </c>
      <c r="N227" s="5"/>
      <c r="O227" s="4" t="s">
        <v>64</v>
      </c>
      <c r="P227" s="2" t="n">
        <f aca="false">IF(K227=1,J227/G227^2,0)</f>
        <v>0</v>
      </c>
      <c r="Q227" s="2" t="n">
        <f aca="false">IF(K227=1,((E227-Result!$B$7*D227)/G227)^2,0)</f>
        <v>0</v>
      </c>
    </row>
    <row r="228" customFormat="false" ht="15" hidden="false" customHeight="false" outlineLevel="0" collapsed="false">
      <c r="A228" s="4" t="s">
        <v>286</v>
      </c>
      <c r="B228" s="4" t="s">
        <v>290</v>
      </c>
      <c r="C228" s="4" t="s">
        <v>81</v>
      </c>
      <c r="D228" s="5" t="n">
        <v>723.0942</v>
      </c>
      <c r="E228" s="5" t="n">
        <v>7.5</v>
      </c>
      <c r="F228" s="5" t="n">
        <v>0.00507213523627742</v>
      </c>
      <c r="G228" s="5" t="n">
        <v>15.2276</v>
      </c>
      <c r="H228" s="2" t="n">
        <f aca="false">D228*F228</f>
        <v>3.66763157096783</v>
      </c>
      <c r="I228" s="2" t="n">
        <f aca="false">IF(G228="","",D228*1000000/Inputs!$B$4^2*Inputs!$B$5/G228)</f>
        <v>0.241308900504451</v>
      </c>
      <c r="J228" s="2" t="n">
        <f aca="false">IF(C228="A",Inputs!$B$7,IF(C228="B",Inputs!$B$8,IF(C228="C",Inputs!$B$9,0)))</f>
        <v>0.25</v>
      </c>
      <c r="K228" s="2" t="n">
        <f aca="false">IF(AND(E228&lt;&gt;"",G228&lt;&gt;"",J228&gt;0),IF(I228&gt;=Inputs!$B$6,1,0),0)</f>
        <v>0</v>
      </c>
      <c r="L228" s="5" t="n">
        <v>0</v>
      </c>
      <c r="M228" s="5" t="n">
        <v>723.0942</v>
      </c>
      <c r="N228" s="5"/>
      <c r="O228" s="4" t="s">
        <v>64</v>
      </c>
      <c r="P228" s="2" t="n">
        <f aca="false">IF(K228=1,J228/G228^2,0)</f>
        <v>0</v>
      </c>
      <c r="Q228" s="2" t="n">
        <f aca="false">IF(K228=1,((E228-Result!$B$7*D228)/G228)^2,0)</f>
        <v>0</v>
      </c>
    </row>
    <row r="229" customFormat="false" ht="15" hidden="false" customHeight="false" outlineLevel="0" collapsed="false">
      <c r="A229" s="4" t="s">
        <v>286</v>
      </c>
      <c r="B229" s="4" t="s">
        <v>291</v>
      </c>
      <c r="C229" s="4" t="s">
        <v>81</v>
      </c>
      <c r="D229" s="5" t="n">
        <v>1085.2404</v>
      </c>
      <c r="E229" s="5" t="n">
        <v>-2.5</v>
      </c>
      <c r="F229" s="5" t="n">
        <v>0.00507200397335889</v>
      </c>
      <c r="G229" s="5" t="n">
        <v>15.2276</v>
      </c>
      <c r="H229" s="2" t="n">
        <f aca="false">D229*F229</f>
        <v>5.50434362084959</v>
      </c>
      <c r="I229" s="2" t="n">
        <f aca="false">IF(G229="","",D229*1000000/Inputs!$B$4^2*Inputs!$B$5/G229)</f>
        <v>0.362163280672159</v>
      </c>
      <c r="J229" s="2" t="n">
        <f aca="false">IF(C229="A",Inputs!$B$7,IF(C229="B",Inputs!$B$8,IF(C229="C",Inputs!$B$9,0)))</f>
        <v>0.25</v>
      </c>
      <c r="K229" s="2" t="n">
        <f aca="false">IF(AND(E229&lt;&gt;"",G229&lt;&gt;"",J229&gt;0),IF(I229&gt;=Inputs!$B$6,1,0),0)</f>
        <v>0</v>
      </c>
      <c r="L229" s="5" t="n">
        <v>0</v>
      </c>
      <c r="M229" s="5" t="n">
        <v>1085.2404</v>
      </c>
      <c r="N229" s="5"/>
      <c r="O229" s="4" t="s">
        <v>64</v>
      </c>
      <c r="P229" s="2" t="n">
        <f aca="false">IF(K229=1,J229/G229^2,0)</f>
        <v>0</v>
      </c>
      <c r="Q229" s="2" t="n">
        <f aca="false">IF(K229=1,((E229-Result!$B$7*D229)/G229)^2,0)</f>
        <v>0</v>
      </c>
    </row>
    <row r="230" customFormat="false" ht="15" hidden="false" customHeight="false" outlineLevel="0" collapsed="false">
      <c r="A230" s="4" t="s">
        <v>286</v>
      </c>
      <c r="B230" s="4" t="s">
        <v>292</v>
      </c>
      <c r="C230" s="4" t="s">
        <v>81</v>
      </c>
      <c r="D230" s="5" t="n">
        <v>1143.8673</v>
      </c>
      <c r="E230" s="5" t="n">
        <v>14.5</v>
      </c>
      <c r="F230" s="5" t="n">
        <v>0.00507212812085044</v>
      </c>
      <c r="G230" s="5" t="n">
        <v>15.2276</v>
      </c>
      <c r="H230" s="2" t="n">
        <f aca="false">D230*F230</f>
        <v>5.80184149885127</v>
      </c>
      <c r="I230" s="2" t="n">
        <f aca="false">IF(G230="","",D230*1000000/Inputs!$B$4^2*Inputs!$B$5/G230)</f>
        <v>0.381728079807576</v>
      </c>
      <c r="J230" s="2" t="n">
        <f aca="false">IF(C230="A",Inputs!$B$7,IF(C230="B",Inputs!$B$8,IF(C230="C",Inputs!$B$9,0)))</f>
        <v>0.25</v>
      </c>
      <c r="K230" s="2" t="n">
        <f aca="false">IF(AND(E230&lt;&gt;"",G230&lt;&gt;"",J230&gt;0),IF(I230&gt;=Inputs!$B$6,1,0),0)</f>
        <v>0</v>
      </c>
      <c r="L230" s="5" t="n">
        <v>0</v>
      </c>
      <c r="M230" s="5" t="n">
        <v>1143.8673</v>
      </c>
      <c r="N230" s="5"/>
      <c r="O230" s="4" t="s">
        <v>64</v>
      </c>
      <c r="P230" s="2" t="n">
        <f aca="false">IF(K230=1,J230/G230^2,0)</f>
        <v>0</v>
      </c>
      <c r="Q230" s="2" t="n">
        <f aca="false">IF(K230=1,((E230-Result!$B$7*D230)/G230)^2,0)</f>
        <v>0</v>
      </c>
    </row>
    <row r="231" customFormat="false" ht="15" hidden="false" customHeight="false" outlineLevel="0" collapsed="false">
      <c r="A231" s="4" t="s">
        <v>293</v>
      </c>
      <c r="B231" s="4" t="s">
        <v>294</v>
      </c>
      <c r="C231" s="4"/>
      <c r="D231" s="5" t="n">
        <v>486.2489</v>
      </c>
      <c r="E231" s="5"/>
      <c r="F231" s="5" t="n">
        <v>0.00506973592000393</v>
      </c>
      <c r="G231" s="5"/>
      <c r="H231" s="2" t="n">
        <f aca="false">D231*F231</f>
        <v>2.4651535143924</v>
      </c>
      <c r="I231" s="2" t="str">
        <f aca="false">IF(G231="","",D231*1000000/Inputs!$B$4^2*Inputs!$B$5/G231)</f>
        <v/>
      </c>
      <c r="J231" s="2" t="n">
        <f aca="false">IF(C231="A",Inputs!$B$7,IF(C231="B",Inputs!$B$8,IF(C231="C",Inputs!$B$9,0)))</f>
        <v>0</v>
      </c>
      <c r="K231" s="2" t="n">
        <f aca="false">IF(AND(E231&lt;&gt;"",G231&lt;&gt;"",J231&gt;0),IF(I231&gt;=Inputs!$B$6,1,0),0)</f>
        <v>0</v>
      </c>
      <c r="L231" s="5" t="n">
        <v>0</v>
      </c>
      <c r="M231" s="5" t="n">
        <v>486.2489</v>
      </c>
      <c r="N231" s="5"/>
      <c r="O231" s="4" t="s">
        <v>295</v>
      </c>
      <c r="P231" s="2" t="n">
        <f aca="false">IF(K231=1,J231/G231^2,0)</f>
        <v>0</v>
      </c>
      <c r="Q231" s="2" t="n">
        <f aca="false">IF(K231=1,((E231-Result!$B$7*D231)/G231)^2,0)</f>
        <v>0</v>
      </c>
    </row>
    <row r="232" customFormat="false" ht="15" hidden="false" customHeight="false" outlineLevel="0" collapsed="false">
      <c r="A232" s="4" t="s">
        <v>293</v>
      </c>
      <c r="B232" s="4" t="s">
        <v>296</v>
      </c>
      <c r="C232" s="4"/>
      <c r="D232" s="5" t="n">
        <v>377.8288</v>
      </c>
      <c r="E232" s="5"/>
      <c r="F232" s="5" t="n">
        <v>0.00506984175374538</v>
      </c>
      <c r="G232" s="5"/>
      <c r="H232" s="2" t="n">
        <f aca="false">D232*F232</f>
        <v>1.91553222600751</v>
      </c>
      <c r="I232" s="2" t="str">
        <f aca="false">IF(G232="","",D232*1000000/Inputs!$B$4^2*Inputs!$B$5/G232)</f>
        <v/>
      </c>
      <c r="J232" s="2" t="n">
        <f aca="false">IF(C232="A",Inputs!$B$7,IF(C232="B",Inputs!$B$8,IF(C232="C",Inputs!$B$9,0)))</f>
        <v>0</v>
      </c>
      <c r="K232" s="2" t="n">
        <f aca="false">IF(AND(E232&lt;&gt;"",G232&lt;&gt;"",J232&gt;0),IF(I232&gt;=Inputs!$B$6,1,0),0)</f>
        <v>0</v>
      </c>
      <c r="L232" s="5" t="n">
        <v>0</v>
      </c>
      <c r="M232" s="5" t="n">
        <v>377.8288</v>
      </c>
      <c r="N232" s="5"/>
      <c r="O232" s="4" t="s">
        <v>295</v>
      </c>
      <c r="P232" s="2" t="n">
        <f aca="false">IF(K232=1,J232/G232^2,0)</f>
        <v>0</v>
      </c>
      <c r="Q232" s="2" t="n">
        <f aca="false">IF(K232=1,((E232-Result!$B$7*D232)/G232)^2,0)</f>
        <v>0</v>
      </c>
    </row>
    <row r="233" customFormat="false" ht="15" hidden="false" customHeight="false" outlineLevel="0" collapsed="false">
      <c r="A233" s="4" t="s">
        <v>42</v>
      </c>
      <c r="B233" s="4" t="s">
        <v>297</v>
      </c>
      <c r="C233" s="4" t="s">
        <v>63</v>
      </c>
      <c r="D233" s="5" t="n">
        <v>396.4667</v>
      </c>
      <c r="E233" s="5" t="n">
        <v>3.98</v>
      </c>
      <c r="F233" s="5" t="n">
        <v>0.00510250687306148</v>
      </c>
      <c r="G233" s="5" t="n">
        <v>1.3035</v>
      </c>
      <c r="H233" s="2" t="n">
        <f aca="false">D233*F233</f>
        <v>2.02297406169001</v>
      </c>
      <c r="I233" s="2" t="n">
        <f aca="false">IF(G233="","",D233*1000000/Inputs!$B$4^2*Inputs!$B$5/G233)</f>
        <v>1.5456302307856</v>
      </c>
      <c r="J233" s="2" t="n">
        <f aca="false">IF(C233="A",Inputs!$B$7,IF(C233="B",Inputs!$B$8,IF(C233="C",Inputs!$B$9,0)))</f>
        <v>1</v>
      </c>
      <c r="K233" s="2" t="n">
        <f aca="false">IF(AND(E233&lt;&gt;"",G233&lt;&gt;"",J233&gt;0),IF(I233&gt;=Inputs!$B$6,1,0),0)</f>
        <v>0</v>
      </c>
      <c r="L233" s="5" t="n">
        <v>0</v>
      </c>
      <c r="M233" s="5" t="n">
        <v>404.0391</v>
      </c>
      <c r="N233" s="5" t="n">
        <v>2.06</v>
      </c>
      <c r="O233" s="4" t="s">
        <v>64</v>
      </c>
      <c r="P233" s="2" t="n">
        <f aca="false">IF(K233=1,J233/G233^2,0)</f>
        <v>0</v>
      </c>
      <c r="Q233" s="2" t="n">
        <f aca="false">IF(K233=1,((E233-Result!$B$7*D233)/G233)^2,0)</f>
        <v>0</v>
      </c>
    </row>
    <row r="234" customFormat="false" ht="15" hidden="false" customHeight="false" outlineLevel="0" collapsed="false">
      <c r="A234" s="4" t="s">
        <v>42</v>
      </c>
      <c r="B234" s="4" t="s">
        <v>298</v>
      </c>
      <c r="C234" s="4" t="s">
        <v>63</v>
      </c>
      <c r="D234" s="5" t="n">
        <v>148.3938</v>
      </c>
      <c r="E234" s="5" t="n">
        <v>3.24</v>
      </c>
      <c r="F234" s="5" t="n">
        <v>0.00510293679428566</v>
      </c>
      <c r="G234" s="5" t="n">
        <v>1.3035</v>
      </c>
      <c r="H234" s="2" t="n">
        <f aca="false">D234*F234</f>
        <v>0.757244182063867</v>
      </c>
      <c r="I234" s="2" t="n">
        <f aca="false">IF(G234="","",D234*1000000/Inputs!$B$4^2*Inputs!$B$5/G234)</f>
        <v>0.578515026208135</v>
      </c>
      <c r="J234" s="2" t="n">
        <f aca="false">IF(C234="A",Inputs!$B$7,IF(C234="B",Inputs!$B$8,IF(C234="C",Inputs!$B$9,0)))</f>
        <v>1</v>
      </c>
      <c r="K234" s="2" t="n">
        <f aca="false">IF(AND(E234&lt;&gt;"",G234&lt;&gt;"",J234&gt;0),IF(I234&gt;=Inputs!$B$6,1,0),0)</f>
        <v>0</v>
      </c>
      <c r="L234" s="5" t="n">
        <v>0</v>
      </c>
      <c r="M234" s="5" t="n">
        <v>148.8167</v>
      </c>
      <c r="N234" s="5" t="n">
        <v>0.76</v>
      </c>
      <c r="O234" s="4" t="s">
        <v>64</v>
      </c>
      <c r="P234" s="2" t="n">
        <f aca="false">IF(K234=1,J234/G234^2,0)</f>
        <v>0</v>
      </c>
      <c r="Q234" s="2" t="n">
        <f aca="false">IF(K234=1,((E234-Result!$B$7*D234)/G234)^2,0)</f>
        <v>0</v>
      </c>
    </row>
    <row r="235" customFormat="false" ht="15" hidden="false" customHeight="false" outlineLevel="0" collapsed="false">
      <c r="A235" s="4" t="s">
        <v>42</v>
      </c>
      <c r="B235" s="4" t="s">
        <v>299</v>
      </c>
      <c r="C235" s="4" t="s">
        <v>63</v>
      </c>
      <c r="D235" s="5" t="n">
        <v>391.6503</v>
      </c>
      <c r="E235" s="5" t="n">
        <v>3.48</v>
      </c>
      <c r="F235" s="5" t="n">
        <v>0.00510291050802387</v>
      </c>
      <c r="G235" s="5" t="n">
        <v>1.3035</v>
      </c>
      <c r="H235" s="2" t="n">
        <f aca="false">D235*F235</f>
        <v>1.9985564313407</v>
      </c>
      <c r="I235" s="2" t="n">
        <f aca="false">IF(G235="","",D235*1000000/Inputs!$B$4^2*Inputs!$B$5/G235)</f>
        <v>1.52685343706357</v>
      </c>
      <c r="J235" s="2" t="n">
        <f aca="false">IF(C235="A",Inputs!$B$7,IF(C235="B",Inputs!$B$8,IF(C235="C",Inputs!$B$9,0)))</f>
        <v>1</v>
      </c>
      <c r="K235" s="2" t="n">
        <f aca="false">IF(AND(E235&lt;&gt;"",G235&lt;&gt;"",J235&gt;0),IF(I235&gt;=Inputs!$B$6,1,0),0)</f>
        <v>0</v>
      </c>
      <c r="L235" s="5" t="n">
        <v>0</v>
      </c>
      <c r="M235" s="5" t="n">
        <v>392.2476</v>
      </c>
      <c r="N235" s="5" t="n">
        <v>2.01</v>
      </c>
      <c r="O235" s="4" t="s">
        <v>64</v>
      </c>
      <c r="P235" s="2" t="n">
        <f aca="false">IF(K235=1,J235/G235^2,0)</f>
        <v>0</v>
      </c>
      <c r="Q235" s="2" t="n">
        <f aca="false">IF(K235=1,((E235-Result!$B$7*D235)/G235)^2,0)</f>
        <v>0</v>
      </c>
    </row>
    <row r="236" customFormat="false" ht="15" hidden="false" customHeight="false" outlineLevel="0" collapsed="false">
      <c r="A236" s="4" t="s">
        <v>42</v>
      </c>
      <c r="B236" s="4" t="s">
        <v>300</v>
      </c>
      <c r="C236" s="4" t="s">
        <v>63</v>
      </c>
      <c r="D236" s="5" t="n">
        <v>1566.6929</v>
      </c>
      <c r="E236" s="5" t="n">
        <v>9.94</v>
      </c>
      <c r="F236" s="5" t="n">
        <v>0.00510269837362988</v>
      </c>
      <c r="G236" s="5" t="n">
        <v>1.3035</v>
      </c>
      <c r="H236" s="2" t="n">
        <f aca="false">D236*F236</f>
        <v>7.99436131280749</v>
      </c>
      <c r="I236" s="2" t="n">
        <f aca="false">IF(G236="","",D236*1000000/Inputs!$B$4^2*Inputs!$B$5/G236)</f>
        <v>6.10777124181468</v>
      </c>
      <c r="J236" s="2" t="n">
        <f aca="false">IF(C236="A",Inputs!$B$7,IF(C236="B",Inputs!$B$8,IF(C236="C",Inputs!$B$9,0)))</f>
        <v>1</v>
      </c>
      <c r="K236" s="2" t="n">
        <f aca="false">IF(AND(E236&lt;&gt;"",G236&lt;&gt;"",J236&gt;0),IF(I236&gt;=Inputs!$B$6,1,0),0)</f>
        <v>1</v>
      </c>
      <c r="L236" s="5" t="n">
        <v>0</v>
      </c>
      <c r="M236" s="5" t="n">
        <v>1570.3729</v>
      </c>
      <c r="N236" s="5" t="n">
        <v>8.01</v>
      </c>
      <c r="O236" s="4" t="s">
        <v>64</v>
      </c>
      <c r="P236" s="2" t="n">
        <f aca="false">IF(K236=1,J236/G236^2,0)</f>
        <v>0.588542634543421</v>
      </c>
      <c r="Q236" s="2" t="n">
        <f aca="false">IF(K236=1,((E236-Result!$B$7*D236)/G236)^2,0)</f>
        <v>2.40734921866864</v>
      </c>
    </row>
    <row r="237" customFormat="false" ht="15" hidden="false" customHeight="false" outlineLevel="0" collapsed="false">
      <c r="A237" s="4" t="s">
        <v>42</v>
      </c>
      <c r="B237" s="4" t="s">
        <v>301</v>
      </c>
      <c r="C237" s="4" t="s">
        <v>63</v>
      </c>
      <c r="D237" s="5" t="n">
        <v>378.236</v>
      </c>
      <c r="E237" s="5" t="n">
        <v>2.53</v>
      </c>
      <c r="F237" s="5" t="n">
        <v>0.00510267381021045</v>
      </c>
      <c r="G237" s="5" t="n">
        <v>1.3035</v>
      </c>
      <c r="H237" s="2" t="n">
        <f aca="false">D237*F237</f>
        <v>1.93001493127876</v>
      </c>
      <c r="I237" s="2" t="n">
        <f aca="false">IF(G237="","",D237*1000000/Inputs!$B$4^2*Inputs!$B$5/G237)</f>
        <v>1.47455762607912</v>
      </c>
      <c r="J237" s="2" t="n">
        <f aca="false">IF(C237="A",Inputs!$B$7,IF(C237="B",Inputs!$B$8,IF(C237="C",Inputs!$B$9,0)))</f>
        <v>1</v>
      </c>
      <c r="K237" s="2" t="n">
        <f aca="false">IF(AND(E237&lt;&gt;"",G237&lt;&gt;"",J237&gt;0),IF(I237&gt;=Inputs!$B$6,1,0),0)</f>
        <v>0</v>
      </c>
      <c r="L237" s="5" t="n">
        <v>0</v>
      </c>
      <c r="M237" s="5" t="n">
        <v>378.9313</v>
      </c>
      <c r="N237" s="5" t="n">
        <v>1.93</v>
      </c>
      <c r="O237" s="4" t="s">
        <v>64</v>
      </c>
      <c r="P237" s="2" t="n">
        <f aca="false">IF(K237=1,J237/G237^2,0)</f>
        <v>0</v>
      </c>
      <c r="Q237" s="2" t="n">
        <f aca="false">IF(K237=1,((E237-Result!$B$7*D237)/G237)^2,0)</f>
        <v>0</v>
      </c>
    </row>
    <row r="238" customFormat="false" ht="15" hidden="false" customHeight="false" outlineLevel="0" collapsed="false">
      <c r="A238" s="4" t="s">
        <v>42</v>
      </c>
      <c r="B238" s="4" t="s">
        <v>302</v>
      </c>
      <c r="C238" s="4"/>
      <c r="D238" s="5" t="n">
        <v>365.3876</v>
      </c>
      <c r="E238" s="5"/>
      <c r="F238" s="5" t="n">
        <v>0.0050996965410615</v>
      </c>
      <c r="G238" s="5" t="n">
        <v>1.3035</v>
      </c>
      <c r="H238" s="2" t="n">
        <f aca="false">D238*F238</f>
        <v>1.86336587986676</v>
      </c>
      <c r="I238" s="2" t="n">
        <f aca="false">IF(G238="","",D238*1000000/Inputs!$B$4^2*Inputs!$B$5/G238)</f>
        <v>1.42446798309719</v>
      </c>
      <c r="J238" s="2" t="n">
        <f aca="false">IF(C238="A",Inputs!$B$7,IF(C238="B",Inputs!$B$8,IF(C238="C",Inputs!$B$9,0)))</f>
        <v>0</v>
      </c>
      <c r="K238" s="2" t="n">
        <f aca="false">IF(AND(E238&lt;&gt;"",G238&lt;&gt;"",J238&gt;0),IF(I238&gt;=Inputs!$B$6,1,0),0)</f>
        <v>0</v>
      </c>
      <c r="L238" s="5" t="n">
        <v>0</v>
      </c>
      <c r="M238" s="5" t="n">
        <v>365.3876</v>
      </c>
      <c r="N238" s="5" t="n">
        <v>1.87</v>
      </c>
      <c r="O238" s="4" t="s">
        <v>303</v>
      </c>
      <c r="P238" s="2" t="n">
        <f aca="false">IF(K238=1,J238/G238^2,0)</f>
        <v>0</v>
      </c>
      <c r="Q238" s="2" t="n">
        <f aca="false">IF(K238=1,((E238-Result!$B$7*D238)/G238)^2,0)</f>
        <v>0</v>
      </c>
    </row>
    <row r="239" customFormat="false" ht="15" hidden="false" customHeight="false" outlineLevel="0" collapsed="false">
      <c r="A239" s="4" t="s">
        <v>42</v>
      </c>
      <c r="B239" s="4" t="s">
        <v>304</v>
      </c>
      <c r="C239" s="4" t="s">
        <v>63</v>
      </c>
      <c r="D239" s="5" t="n">
        <v>768.1113</v>
      </c>
      <c r="E239" s="5" t="n">
        <v>4.2</v>
      </c>
      <c r="F239" s="5" t="n">
        <v>0.00509928678748153</v>
      </c>
      <c r="G239" s="5" t="n">
        <v>1.3035</v>
      </c>
      <c r="H239" s="2" t="n">
        <f aca="false">D239*F239</f>
        <v>3.91681980340526</v>
      </c>
      <c r="I239" s="2" t="n">
        <f aca="false">IF(G239="","",D239*1000000/Inputs!$B$4^2*Inputs!$B$5/G239)</f>
        <v>2.99449120414913</v>
      </c>
      <c r="J239" s="2" t="n">
        <f aca="false">IF(C239="A",Inputs!$B$7,IF(C239="B",Inputs!$B$8,IF(C239="C",Inputs!$B$9,0)))</f>
        <v>1</v>
      </c>
      <c r="K239" s="2" t="n">
        <f aca="false">IF(AND(E239&lt;&gt;"",G239&lt;&gt;"",J239&gt;0),IF(I239&gt;=Inputs!$B$6,1,0),0)</f>
        <v>1</v>
      </c>
      <c r="L239" s="5" t="n">
        <v>0</v>
      </c>
      <c r="M239" s="5" t="n">
        <v>768.4887</v>
      </c>
      <c r="N239" s="5" t="n">
        <v>3.93</v>
      </c>
      <c r="O239" s="4" t="s">
        <v>64</v>
      </c>
      <c r="P239" s="2" t="n">
        <f aca="false">IF(K239=1,J239/G239^2,0)</f>
        <v>0.588542634543421</v>
      </c>
      <c r="Q239" s="2" t="n">
        <f aca="false">IF(K239=1,((E239-Result!$B$7*D239)/G239)^2,0)</f>
        <v>0.0595999607013931</v>
      </c>
    </row>
    <row r="240" customFormat="false" ht="15" hidden="false" customHeight="false" outlineLevel="0" collapsed="false">
      <c r="A240" s="4" t="s">
        <v>42</v>
      </c>
      <c r="B240" s="4" t="s">
        <v>305</v>
      </c>
      <c r="C240" s="4" t="s">
        <v>63</v>
      </c>
      <c r="D240" s="5" t="n">
        <v>596.3874</v>
      </c>
      <c r="E240" s="5" t="n">
        <v>5.7</v>
      </c>
      <c r="F240" s="5" t="n">
        <v>0.00509914642304551</v>
      </c>
      <c r="G240" s="5" t="n">
        <v>1.3035</v>
      </c>
      <c r="H240" s="2" t="n">
        <f aca="false">D240*F240</f>
        <v>3.04106667745941</v>
      </c>
      <c r="I240" s="2" t="n">
        <f aca="false">IF(G240="","",D240*1000000/Inputs!$B$4^2*Inputs!$B$5/G240)</f>
        <v>2.32502350058562</v>
      </c>
      <c r="J240" s="2" t="n">
        <f aca="false">IF(C240="A",Inputs!$B$7,IF(C240="B",Inputs!$B$8,IF(C240="C",Inputs!$B$9,0)))</f>
        <v>1</v>
      </c>
      <c r="K240" s="2" t="n">
        <f aca="false">IF(AND(E240&lt;&gt;"",G240&lt;&gt;"",J240&gt;0),IF(I240&gt;=Inputs!$B$6,1,0),0)</f>
        <v>1</v>
      </c>
      <c r="L240" s="5" t="n">
        <v>0</v>
      </c>
      <c r="M240" s="5" t="n">
        <v>597.3346</v>
      </c>
      <c r="N240" s="5" t="n">
        <v>3.04</v>
      </c>
      <c r="O240" s="4" t="s">
        <v>64</v>
      </c>
      <c r="P240" s="2" t="n">
        <f aca="false">IF(K240=1,J240/G240^2,0)</f>
        <v>0.588542634543421</v>
      </c>
      <c r="Q240" s="2" t="n">
        <f aca="false">IF(K240=1,((E240-Result!$B$7*D240)/G240)^2,0)</f>
        <v>4.24628519659586</v>
      </c>
    </row>
    <row r="241" customFormat="false" ht="15" hidden="false" customHeight="false" outlineLevel="0" collapsed="false">
      <c r="A241" s="4" t="s">
        <v>42</v>
      </c>
      <c r="B241" s="4" t="s">
        <v>306</v>
      </c>
      <c r="C241" s="4" t="s">
        <v>63</v>
      </c>
      <c r="D241" s="5" t="n">
        <v>779.8227</v>
      </c>
      <c r="E241" s="5" t="n">
        <v>4.02</v>
      </c>
      <c r="F241" s="5" t="n">
        <v>0.00509902316483443</v>
      </c>
      <c r="G241" s="5" t="n">
        <v>1.3035</v>
      </c>
      <c r="H241" s="2" t="n">
        <f aca="false">D241*F241</f>
        <v>3.97633401176373</v>
      </c>
      <c r="I241" s="2" t="n">
        <f aca="false">IF(G241="","",D241*1000000/Inputs!$B$4^2*Inputs!$B$5/G241)</f>
        <v>3.04014823886307</v>
      </c>
      <c r="J241" s="2" t="n">
        <f aca="false">IF(C241="A",Inputs!$B$7,IF(C241="B",Inputs!$B$8,IF(C241="C",Inputs!$B$9,0)))</f>
        <v>1</v>
      </c>
      <c r="K241" s="2" t="n">
        <f aca="false">IF(AND(E241&lt;&gt;"",G241&lt;&gt;"",J241&gt;0),IF(I241&gt;=Inputs!$B$6,1,0),0)</f>
        <v>1</v>
      </c>
      <c r="L241" s="5" t="n">
        <v>0</v>
      </c>
      <c r="M241" s="5" t="n">
        <v>780.607</v>
      </c>
      <c r="N241" s="5" t="n">
        <v>3.99</v>
      </c>
      <c r="O241" s="4" t="s">
        <v>64</v>
      </c>
      <c r="P241" s="2" t="n">
        <f aca="false">IF(K241=1,J241/G241^2,0)</f>
        <v>0.588542634543421</v>
      </c>
      <c r="Q241" s="2" t="n">
        <f aca="false">IF(K241=1,((E241-Result!$B$7*D241)/G241)^2,0)</f>
        <v>0.00367675353179945</v>
      </c>
    </row>
    <row r="242" customFormat="false" ht="15" hidden="false" customHeight="false" outlineLevel="0" collapsed="false">
      <c r="A242" s="4" t="s">
        <v>42</v>
      </c>
      <c r="B242" s="4" t="s">
        <v>307</v>
      </c>
      <c r="C242" s="4" t="s">
        <v>63</v>
      </c>
      <c r="D242" s="5" t="n">
        <v>347.4755</v>
      </c>
      <c r="E242" s="5" t="n">
        <v>3.26</v>
      </c>
      <c r="F242" s="5" t="n">
        <v>0.00509804604007906</v>
      </c>
      <c r="G242" s="5" t="n">
        <v>1.3035</v>
      </c>
      <c r="H242" s="2" t="n">
        <f aca="false">D242*F242</f>
        <v>1.77144609679949</v>
      </c>
      <c r="I242" s="2" t="n">
        <f aca="false">IF(G242="","",D242*1000000/Inputs!$B$4^2*Inputs!$B$5/G242)</f>
        <v>1.35463744434865</v>
      </c>
      <c r="J242" s="2" t="n">
        <f aca="false">IF(C242="A",Inputs!$B$7,IF(C242="B",Inputs!$B$8,IF(C242="C",Inputs!$B$9,0)))</f>
        <v>1</v>
      </c>
      <c r="K242" s="2" t="n">
        <f aca="false">IF(AND(E242&lt;&gt;"",G242&lt;&gt;"",J242&gt;0),IF(I242&gt;=Inputs!$B$6,1,0),0)</f>
        <v>0</v>
      </c>
      <c r="L242" s="5" t="n">
        <v>0</v>
      </c>
      <c r="M242" s="5" t="n">
        <v>347.889</v>
      </c>
      <c r="N242" s="5" t="n">
        <v>1.78</v>
      </c>
      <c r="O242" s="4" t="s">
        <v>64</v>
      </c>
      <c r="P242" s="2" t="n">
        <f aca="false">IF(K242=1,J242/G242^2,0)</f>
        <v>0</v>
      </c>
      <c r="Q242" s="2" t="n">
        <f aca="false">IF(K242=1,((E242-Result!$B$7*D242)/G242)^2,0)</f>
        <v>0</v>
      </c>
    </row>
    <row r="243" customFormat="false" ht="15" hidden="false" customHeight="false" outlineLevel="0" collapsed="false">
      <c r="A243" s="4" t="s">
        <v>42</v>
      </c>
      <c r="B243" s="4" t="s">
        <v>308</v>
      </c>
      <c r="C243" s="4" t="s">
        <v>63</v>
      </c>
      <c r="D243" s="5" t="n">
        <v>276.6829</v>
      </c>
      <c r="E243" s="5" t="n">
        <v>2.26</v>
      </c>
      <c r="F243" s="5" t="n">
        <v>0.00509880513378958</v>
      </c>
      <c r="G243" s="5" t="n">
        <v>1.3035</v>
      </c>
      <c r="H243" s="2" t="n">
        <f aca="false">D243*F243</f>
        <v>1.41075219095179</v>
      </c>
      <c r="I243" s="2" t="n">
        <f aca="false">IF(G243="","",D243*1000000/Inputs!$B$4^2*Inputs!$B$5/G243)</f>
        <v>1.07865163601743</v>
      </c>
      <c r="J243" s="2" t="n">
        <f aca="false">IF(C243="A",Inputs!$B$7,IF(C243="B",Inputs!$B$8,IF(C243="C",Inputs!$B$9,0)))</f>
        <v>1</v>
      </c>
      <c r="K243" s="2" t="n">
        <f aca="false">IF(AND(E243&lt;&gt;"",G243&lt;&gt;"",J243&gt;0),IF(I243&gt;=Inputs!$B$6,1,0),0)</f>
        <v>0</v>
      </c>
      <c r="L243" s="5" t="n">
        <v>0</v>
      </c>
      <c r="M243" s="5" t="n">
        <v>276.9349</v>
      </c>
      <c r="N243" s="5" t="n">
        <v>1.41</v>
      </c>
      <c r="O243" s="4" t="s">
        <v>64</v>
      </c>
      <c r="P243" s="2" t="n">
        <f aca="false">IF(K243=1,J243/G243^2,0)</f>
        <v>0</v>
      </c>
      <c r="Q243" s="2" t="n">
        <f aca="false">IF(K243=1,((E243-Result!$B$7*D243)/G243)^2,0)</f>
        <v>0</v>
      </c>
    </row>
    <row r="244" customFormat="false" ht="15" hidden="false" customHeight="false" outlineLevel="0" collapsed="false">
      <c r="A244" s="4" t="s">
        <v>41</v>
      </c>
      <c r="B244" s="4" t="s">
        <v>309</v>
      </c>
      <c r="C244" s="4" t="s">
        <v>63</v>
      </c>
      <c r="D244" s="5" t="n">
        <v>863.1006</v>
      </c>
      <c r="E244" s="5" t="n">
        <v>2.41</v>
      </c>
      <c r="F244" s="5" t="n">
        <v>0.00509479919790887</v>
      </c>
      <c r="G244" s="5" t="n">
        <v>1.1574</v>
      </c>
      <c r="H244" s="2" t="n">
        <f aca="false">D244*F244</f>
        <v>4.39732424459466</v>
      </c>
      <c r="I244" s="2" t="n">
        <f aca="false">IF(G244="","",D244*1000000/Inputs!$B$4^2*Inputs!$B$5/G244)</f>
        <v>3.78955193627939</v>
      </c>
      <c r="J244" s="2" t="n">
        <f aca="false">IF(C244="A",Inputs!$B$7,IF(C244="B",Inputs!$B$8,IF(C244="C",Inputs!$B$9,0)))</f>
        <v>1</v>
      </c>
      <c r="K244" s="2" t="n">
        <f aca="false">IF(AND(E244&lt;&gt;"",G244&lt;&gt;"",J244&gt;0),IF(I244&gt;=Inputs!$B$6,1,0),0)</f>
        <v>1</v>
      </c>
      <c r="L244" s="5" t="n">
        <v>0</v>
      </c>
      <c r="M244" s="5" t="n">
        <v>863.1288</v>
      </c>
      <c r="N244" s="5" t="n">
        <v>4.41</v>
      </c>
      <c r="O244" s="4" t="s">
        <v>64</v>
      </c>
      <c r="P244" s="2" t="n">
        <f aca="false">IF(K244=1,J244/G244^2,0)</f>
        <v>0.74650555524053</v>
      </c>
      <c r="Q244" s="2" t="n">
        <f aca="false">IF(K244=1,((E244-Result!$B$7*D244)/G244)^2,0)</f>
        <v>2.84388578722839</v>
      </c>
    </row>
    <row r="245" customFormat="false" ht="15" hidden="false" customHeight="false" outlineLevel="0" collapsed="false">
      <c r="A245" s="4" t="s">
        <v>41</v>
      </c>
      <c r="B245" s="4" t="s">
        <v>310</v>
      </c>
      <c r="C245" s="4" t="s">
        <v>63</v>
      </c>
      <c r="D245" s="5" t="n">
        <v>487.1507</v>
      </c>
      <c r="E245" s="5" t="n">
        <v>2.79</v>
      </c>
      <c r="F245" s="5" t="n">
        <v>0.0050948984534986</v>
      </c>
      <c r="G245" s="5" t="n">
        <v>1.1574</v>
      </c>
      <c r="H245" s="2" t="n">
        <f aca="false">D245*F245</f>
        <v>2.48198334805076</v>
      </c>
      <c r="I245" s="2" t="n">
        <f aca="false">IF(G245="","",D245*1000000/Inputs!$B$4^2*Inputs!$B$5/G245)</f>
        <v>2.13889653007408</v>
      </c>
      <c r="J245" s="2" t="n">
        <f aca="false">IF(C245="A",Inputs!$B$7,IF(C245="B",Inputs!$B$8,IF(C245="C",Inputs!$B$9,0)))</f>
        <v>1</v>
      </c>
      <c r="K245" s="2" t="n">
        <f aca="false">IF(AND(E245&lt;&gt;"",G245&lt;&gt;"",J245&gt;0),IF(I245&gt;=Inputs!$B$6,1,0),0)</f>
        <v>1</v>
      </c>
      <c r="L245" s="5" t="n">
        <v>0</v>
      </c>
      <c r="M245" s="5" t="n">
        <v>487.1651</v>
      </c>
      <c r="N245" s="5" t="n">
        <v>2.49</v>
      </c>
      <c r="O245" s="4" t="s">
        <v>64</v>
      </c>
      <c r="P245" s="2" t="n">
        <f aca="false">IF(K245=1,J245/G245^2,0)</f>
        <v>0.74650555524053</v>
      </c>
      <c r="Q245" s="2" t="n">
        <f aca="false">IF(K245=1,((E245-Result!$B$7*D245)/G245)^2,0)</f>
        <v>0.0803633938062559</v>
      </c>
    </row>
    <row r="246" customFormat="false" ht="15" hidden="false" customHeight="false" outlineLevel="0" collapsed="false">
      <c r="A246" s="4" t="s">
        <v>41</v>
      </c>
      <c r="B246" s="4" t="s">
        <v>311</v>
      </c>
      <c r="C246" s="4" t="s">
        <v>63</v>
      </c>
      <c r="D246" s="5" t="n">
        <v>195.7555</v>
      </c>
      <c r="E246" s="5" t="n">
        <v>0.33</v>
      </c>
      <c r="F246" s="5" t="n">
        <v>0.0050950268299203</v>
      </c>
      <c r="G246" s="5" t="n">
        <v>1.1574</v>
      </c>
      <c r="H246" s="2" t="n">
        <f aca="false">D246*F246</f>
        <v>0.997379524604463</v>
      </c>
      <c r="I246" s="2" t="n">
        <f aca="false">IF(G246="","",D246*1000000/Inputs!$B$4^2*Inputs!$B$5/G246)</f>
        <v>0.859489188238706</v>
      </c>
      <c r="J246" s="2" t="n">
        <f aca="false">IF(C246="A",Inputs!$B$7,IF(C246="B",Inputs!$B$8,IF(C246="C",Inputs!$B$9,0)))</f>
        <v>1</v>
      </c>
      <c r="K246" s="2" t="n">
        <f aca="false">IF(AND(E246&lt;&gt;"",G246&lt;&gt;"",J246&gt;0),IF(I246&gt;=Inputs!$B$6,1,0),0)</f>
        <v>0</v>
      </c>
      <c r="L246" s="5" t="n">
        <v>0</v>
      </c>
      <c r="M246" s="5" t="n">
        <v>195.7605</v>
      </c>
      <c r="N246" s="5" t="n">
        <v>0.99</v>
      </c>
      <c r="O246" s="4" t="s">
        <v>64</v>
      </c>
      <c r="P246" s="2" t="n">
        <f aca="false">IF(K246=1,J246/G246^2,0)</f>
        <v>0</v>
      </c>
      <c r="Q246" s="2" t="n">
        <f aca="false">IF(K246=1,((E246-Result!$B$7*D246)/G246)^2,0)</f>
        <v>0</v>
      </c>
    </row>
    <row r="247" customFormat="false" ht="15" hidden="false" customHeight="false" outlineLevel="0" collapsed="false">
      <c r="A247" s="4" t="s">
        <v>41</v>
      </c>
      <c r="B247" s="4" t="s">
        <v>312</v>
      </c>
      <c r="C247" s="4" t="s">
        <v>63</v>
      </c>
      <c r="D247" s="5" t="n">
        <v>259.0207</v>
      </c>
      <c r="E247" s="5" t="n">
        <v>2.47</v>
      </c>
      <c r="F247" s="5" t="n">
        <v>0.00509502012237872</v>
      </c>
      <c r="G247" s="5" t="n">
        <v>1.1574</v>
      </c>
      <c r="H247" s="2" t="n">
        <f aca="false">D247*F247</f>
        <v>1.31971567861262</v>
      </c>
      <c r="I247" s="2" t="n">
        <f aca="false">IF(G247="","",D247*1000000/Inputs!$B$4^2*Inputs!$B$5/G247)</f>
        <v>1.13726302034947</v>
      </c>
      <c r="J247" s="2" t="n">
        <f aca="false">IF(C247="A",Inputs!$B$7,IF(C247="B",Inputs!$B$8,IF(C247="C",Inputs!$B$9,0)))</f>
        <v>1</v>
      </c>
      <c r="K247" s="2" t="n">
        <f aca="false">IF(AND(E247&lt;&gt;"",G247&lt;&gt;"",J247&gt;0),IF(I247&gt;=Inputs!$B$6,1,0),0)</f>
        <v>0</v>
      </c>
      <c r="L247" s="5" t="n">
        <v>0</v>
      </c>
      <c r="M247" s="5" t="n">
        <v>259.0279</v>
      </c>
      <c r="N247" s="5" t="n">
        <v>1.32</v>
      </c>
      <c r="O247" s="4" t="s">
        <v>64</v>
      </c>
      <c r="P247" s="2" t="n">
        <f aca="false">IF(K247=1,J247/G247^2,0)</f>
        <v>0</v>
      </c>
      <c r="Q247" s="2" t="n">
        <f aca="false">IF(K247=1,((E247-Result!$B$7*D247)/G247)^2,0)</f>
        <v>0</v>
      </c>
    </row>
    <row r="248" customFormat="false" ht="15" hidden="false" customHeight="false" outlineLevel="0" collapsed="false">
      <c r="A248" s="4" t="s">
        <v>41</v>
      </c>
      <c r="B248" s="4" t="s">
        <v>313</v>
      </c>
      <c r="C248" s="4" t="s">
        <v>63</v>
      </c>
      <c r="D248" s="5" t="n">
        <v>448.7604</v>
      </c>
      <c r="E248" s="5" t="n">
        <v>3.11</v>
      </c>
      <c r="F248" s="5" t="n">
        <v>0.00509489201329849</v>
      </c>
      <c r="G248" s="5" t="n">
        <v>1.1574</v>
      </c>
      <c r="H248" s="2" t="n">
        <f aca="false">D248*F248</f>
        <v>2.28638577784464</v>
      </c>
      <c r="I248" s="2" t="n">
        <f aca="false">IF(G248="","",D248*1000000/Inputs!$B$4^2*Inputs!$B$5/G248)</f>
        <v>1.97033908068829</v>
      </c>
      <c r="J248" s="2" t="n">
        <f aca="false">IF(C248="A",Inputs!$B$7,IF(C248="B",Inputs!$B$8,IF(C248="C",Inputs!$B$9,0)))</f>
        <v>1</v>
      </c>
      <c r="K248" s="2" t="n">
        <f aca="false">IF(AND(E248&lt;&gt;"",G248&lt;&gt;"",J248&gt;0),IF(I248&gt;=Inputs!$B$6,1,0),0)</f>
        <v>0</v>
      </c>
      <c r="L248" s="5" t="n">
        <v>0</v>
      </c>
      <c r="M248" s="5" t="n">
        <v>448.7738</v>
      </c>
      <c r="N248" s="5" t="n">
        <v>2.29</v>
      </c>
      <c r="O248" s="4" t="s">
        <v>64</v>
      </c>
      <c r="P248" s="2" t="n">
        <f aca="false">IF(K248=1,J248/G248^2,0)</f>
        <v>0</v>
      </c>
      <c r="Q248" s="2" t="n">
        <f aca="false">IF(K248=1,((E248-Result!$B$7*D248)/G248)^2,0)</f>
        <v>0</v>
      </c>
    </row>
    <row r="249" customFormat="false" ht="15" hidden="false" customHeight="false" outlineLevel="0" collapsed="false">
      <c r="A249" s="4" t="s">
        <v>41</v>
      </c>
      <c r="B249" s="4" t="s">
        <v>314</v>
      </c>
      <c r="C249" s="4" t="s">
        <v>63</v>
      </c>
      <c r="D249" s="5" t="n">
        <v>652.1376</v>
      </c>
      <c r="E249" s="5" t="n">
        <v>2.32</v>
      </c>
      <c r="F249" s="5" t="n">
        <v>0.00509513338153427</v>
      </c>
      <c r="G249" s="5" t="n">
        <v>1.1574</v>
      </c>
      <c r="H249" s="2" t="n">
        <f aca="false">D249*F249</f>
        <v>3.32272805511365</v>
      </c>
      <c r="I249" s="2" t="n">
        <f aca="false">IF(G249="","",D249*1000000/Inputs!$B$4^2*Inputs!$B$5/G249)</f>
        <v>2.86329230312271</v>
      </c>
      <c r="J249" s="2" t="n">
        <f aca="false">IF(C249="A",Inputs!$B$7,IF(C249="B",Inputs!$B$8,IF(C249="C",Inputs!$B$9,0)))</f>
        <v>1</v>
      </c>
      <c r="K249" s="2" t="n">
        <f aca="false">IF(AND(E249&lt;&gt;"",G249&lt;&gt;"",J249&gt;0),IF(I249&gt;=Inputs!$B$6,1,0),0)</f>
        <v>1</v>
      </c>
      <c r="L249" s="5" t="n">
        <v>0</v>
      </c>
      <c r="M249" s="5" t="n">
        <v>652.1582</v>
      </c>
      <c r="N249" s="5" t="n">
        <v>3.34</v>
      </c>
      <c r="O249" s="4" t="s">
        <v>64</v>
      </c>
      <c r="P249" s="2" t="n">
        <f aca="false">IF(K249=1,J249/G249^2,0)</f>
        <v>0.74650555524053</v>
      </c>
      <c r="Q249" s="2" t="n">
        <f aca="false">IF(K249=1,((E249-Result!$B$7*D249)/G249)^2,0)</f>
        <v>0.710641821773572</v>
      </c>
    </row>
    <row r="250" customFormat="false" ht="15" hidden="false" customHeight="false" outlineLevel="0" collapsed="false">
      <c r="A250" s="4" t="s">
        <v>41</v>
      </c>
      <c r="B250" s="4" t="s">
        <v>315</v>
      </c>
      <c r="C250" s="4" t="s">
        <v>63</v>
      </c>
      <c r="D250" s="5" t="n">
        <v>838.3602</v>
      </c>
      <c r="E250" s="5" t="n">
        <v>4.06</v>
      </c>
      <c r="F250" s="5" t="n">
        <v>0.0050952905714579</v>
      </c>
      <c r="G250" s="5" t="n">
        <v>1.1574</v>
      </c>
      <c r="H250" s="2" t="n">
        <f aca="false">D250*F250</f>
        <v>4.27168882254555</v>
      </c>
      <c r="I250" s="2" t="n">
        <f aca="false">IF(G250="","",D250*1000000/Inputs!$B$4^2*Inputs!$B$5/G250)</f>
        <v>3.68092609275162</v>
      </c>
      <c r="J250" s="2" t="n">
        <f aca="false">IF(C250="A",Inputs!$B$7,IF(C250="B",Inputs!$B$8,IF(C250="C",Inputs!$B$9,0)))</f>
        <v>1</v>
      </c>
      <c r="K250" s="2" t="n">
        <f aca="false">IF(AND(E250&lt;&gt;"",G250&lt;&gt;"",J250&gt;0),IF(I250&gt;=Inputs!$B$6,1,0),0)</f>
        <v>1</v>
      </c>
      <c r="L250" s="5" t="n">
        <v>0</v>
      </c>
      <c r="M250" s="5" t="n">
        <v>838.3887</v>
      </c>
      <c r="N250" s="5" t="n">
        <v>4.27</v>
      </c>
      <c r="O250" s="4" t="s">
        <v>64</v>
      </c>
      <c r="P250" s="2" t="n">
        <f aca="false">IF(K250=1,J250/G250^2,0)</f>
        <v>0.74650555524053</v>
      </c>
      <c r="Q250" s="2" t="n">
        <f aca="false">IF(K250=1,((E250-Result!$B$7*D250)/G250)^2,0)</f>
        <v>0.0233316584585369</v>
      </c>
    </row>
    <row r="251" customFormat="false" ht="15" hidden="false" customHeight="false" outlineLevel="0" collapsed="false">
      <c r="A251" s="4" t="s">
        <v>41</v>
      </c>
      <c r="B251" s="4" t="s">
        <v>316</v>
      </c>
      <c r="C251" s="4" t="s">
        <v>63</v>
      </c>
      <c r="D251" s="5" t="n">
        <v>493.5606</v>
      </c>
      <c r="E251" s="5" t="n">
        <v>2.77</v>
      </c>
      <c r="F251" s="5" t="n">
        <v>0.00509542985185646</v>
      </c>
      <c r="G251" s="5" t="n">
        <v>1.1574</v>
      </c>
      <c r="H251" s="2" t="n">
        <f aca="false">D251*F251</f>
        <v>2.51490341494019</v>
      </c>
      <c r="I251" s="2" t="n">
        <f aca="false">IF(G251="","",D251*1000000/Inputs!$B$4^2*Inputs!$B$5/G251)</f>
        <v>2.16704000368117</v>
      </c>
      <c r="J251" s="2" t="n">
        <f aca="false">IF(C251="A",Inputs!$B$7,IF(C251="B",Inputs!$B$8,IF(C251="C",Inputs!$B$9,0)))</f>
        <v>1</v>
      </c>
      <c r="K251" s="2" t="n">
        <f aca="false">IF(AND(E251&lt;&gt;"",G251&lt;&gt;"",J251&gt;0),IF(I251&gt;=Inputs!$B$6,1,0),0)</f>
        <v>1</v>
      </c>
      <c r="L251" s="5" t="n">
        <v>0</v>
      </c>
      <c r="M251" s="5" t="n">
        <v>493.5756</v>
      </c>
      <c r="N251" s="5" t="n">
        <v>2.5</v>
      </c>
      <c r="O251" s="4" t="s">
        <v>64</v>
      </c>
      <c r="P251" s="2" t="n">
        <f aca="false">IF(K251=1,J251/G251^2,0)</f>
        <v>0.74650555524053</v>
      </c>
      <c r="Q251" s="2" t="n">
        <f aca="false">IF(K251=1,((E251-Result!$B$7*D251)/G251)^2,0)</f>
        <v>0.0567469254591212</v>
      </c>
    </row>
    <row r="252" customFormat="false" ht="15" hidden="false" customHeight="false" outlineLevel="0" collapsed="false">
      <c r="A252" s="4" t="s">
        <v>41</v>
      </c>
      <c r="B252" s="4" t="s">
        <v>317</v>
      </c>
      <c r="C252" s="4" t="s">
        <v>63</v>
      </c>
      <c r="D252" s="5" t="n">
        <v>440.9039</v>
      </c>
      <c r="E252" s="5" t="n">
        <v>0.75</v>
      </c>
      <c r="F252" s="5" t="n">
        <v>0.00509556260108105</v>
      </c>
      <c r="G252" s="5" t="n">
        <v>1.1574</v>
      </c>
      <c r="H252" s="2" t="n">
        <f aca="false">D252*F252</f>
        <v>2.24665342351078</v>
      </c>
      <c r="I252" s="2" t="n">
        <f aca="false">IF(G252="","",D252*1000000/Inputs!$B$4^2*Inputs!$B$5/G252)</f>
        <v>1.93584412750742</v>
      </c>
      <c r="J252" s="2" t="n">
        <f aca="false">IF(C252="A",Inputs!$B$7,IF(C252="B",Inputs!$B$8,IF(C252="C",Inputs!$B$9,0)))</f>
        <v>1</v>
      </c>
      <c r="K252" s="2" t="n">
        <f aca="false">IF(AND(E252&lt;&gt;"",G252&lt;&gt;"",J252&gt;0),IF(I252&gt;=Inputs!$B$6,1,0),0)</f>
        <v>0</v>
      </c>
      <c r="L252" s="5" t="n">
        <v>0</v>
      </c>
      <c r="M252" s="5" t="n">
        <v>440.9179</v>
      </c>
      <c r="N252" s="5" t="n">
        <v>2.25</v>
      </c>
      <c r="O252" s="4" t="s">
        <v>64</v>
      </c>
      <c r="P252" s="2" t="n">
        <f aca="false">IF(K252=1,J252/G252^2,0)</f>
        <v>0</v>
      </c>
      <c r="Q252" s="2" t="n">
        <f aca="false">IF(K252=1,((E252-Result!$B$7*D252)/G252)^2,0)</f>
        <v>0</v>
      </c>
    </row>
    <row r="253" customFormat="false" ht="15" hidden="false" customHeight="false" outlineLevel="0" collapsed="false">
      <c r="A253" s="4" t="s">
        <v>41</v>
      </c>
      <c r="B253" s="4" t="s">
        <v>318</v>
      </c>
      <c r="C253" s="4" t="s">
        <v>63</v>
      </c>
      <c r="D253" s="5" t="n">
        <v>320.3469</v>
      </c>
      <c r="E253" s="5" t="n">
        <v>0.88</v>
      </c>
      <c r="F253" s="5" t="n">
        <v>0.00509565047777588</v>
      </c>
      <c r="G253" s="5" t="n">
        <v>1.1574</v>
      </c>
      <c r="H253" s="2" t="n">
        <f aca="false">D253*F253</f>
        <v>1.63237583403902</v>
      </c>
      <c r="I253" s="2" t="n">
        <f aca="false">IF(G253="","",D253*1000000/Inputs!$B$4^2*Inputs!$B$5/G253)</f>
        <v>1.40652342864331</v>
      </c>
      <c r="J253" s="2" t="n">
        <f aca="false">IF(C253="A",Inputs!$B$7,IF(C253="B",Inputs!$B$8,IF(C253="C",Inputs!$B$9,0)))</f>
        <v>1</v>
      </c>
      <c r="K253" s="2" t="n">
        <f aca="false">IF(AND(E253&lt;&gt;"",G253&lt;&gt;"",J253&gt;0),IF(I253&gt;=Inputs!$B$6,1,0),0)</f>
        <v>0</v>
      </c>
      <c r="L253" s="5" t="n">
        <v>0</v>
      </c>
      <c r="M253" s="5" t="n">
        <v>320.3569</v>
      </c>
      <c r="N253" s="5" t="n">
        <v>1.63</v>
      </c>
      <c r="O253" s="4" t="s">
        <v>64</v>
      </c>
      <c r="P253" s="2" t="n">
        <f aca="false">IF(K253=1,J253/G253^2,0)</f>
        <v>0</v>
      </c>
      <c r="Q253" s="2" t="n">
        <f aca="false">IF(K253=1,((E253-Result!$B$7*D253)/G253)^2,0)</f>
        <v>0</v>
      </c>
    </row>
    <row r="254" customFormat="false" ht="15" hidden="false" customHeight="false" outlineLevel="0" collapsed="false">
      <c r="A254" s="4" t="s">
        <v>41</v>
      </c>
      <c r="B254" s="4" t="s">
        <v>319</v>
      </c>
      <c r="C254" s="4" t="s">
        <v>63</v>
      </c>
      <c r="D254" s="5" t="n">
        <v>260.6993</v>
      </c>
      <c r="E254" s="5" t="n">
        <v>-0.56</v>
      </c>
      <c r="F254" s="5" t="n">
        <v>0.00509576161168343</v>
      </c>
      <c r="G254" s="5" t="n">
        <v>1.1574</v>
      </c>
      <c r="H254" s="2" t="n">
        <f aca="false">D254*F254</f>
        <v>1.32846148513274</v>
      </c>
      <c r="I254" s="2" t="n">
        <f aca="false">IF(G254="","",D254*1000000/Inputs!$B$4^2*Inputs!$B$5/G254)</f>
        <v>1.14463312515561</v>
      </c>
      <c r="J254" s="2" t="n">
        <f aca="false">IF(C254="A",Inputs!$B$7,IF(C254="B",Inputs!$B$8,IF(C254="C",Inputs!$B$9,0)))</f>
        <v>1</v>
      </c>
      <c r="K254" s="2" t="n">
        <f aca="false">IF(AND(E254&lt;&gt;"",G254&lt;&gt;"",J254&gt;0),IF(I254&gt;=Inputs!$B$6,1,0),0)</f>
        <v>0</v>
      </c>
      <c r="L254" s="5" t="n">
        <v>0</v>
      </c>
      <c r="M254" s="5" t="n">
        <v>260.7071</v>
      </c>
      <c r="N254" s="5" t="n">
        <v>1.33</v>
      </c>
      <c r="O254" s="4" t="s">
        <v>64</v>
      </c>
      <c r="P254" s="2" t="n">
        <f aca="false">IF(K254=1,J254/G254^2,0)</f>
        <v>0</v>
      </c>
      <c r="Q254" s="2" t="n">
        <f aca="false">IF(K254=1,((E254-Result!$B$7*D254)/G254)^2,0)</f>
        <v>0</v>
      </c>
    </row>
    <row r="255" customFormat="false" ht="15" hidden="false" customHeight="false" outlineLevel="0" collapsed="false">
      <c r="A255" s="4" t="s">
        <v>41</v>
      </c>
      <c r="B255" s="4" t="s">
        <v>320</v>
      </c>
      <c r="C255" s="4" t="s">
        <v>63</v>
      </c>
      <c r="D255" s="5" t="n">
        <v>558.7033</v>
      </c>
      <c r="E255" s="5" t="n">
        <v>3.17</v>
      </c>
      <c r="F255" s="5" t="n">
        <v>0.00509587610018219</v>
      </c>
      <c r="G255" s="5" t="n">
        <v>1.1574</v>
      </c>
      <c r="H255" s="2" t="n">
        <f aca="false">D255*F255</f>
        <v>2.84708279356292</v>
      </c>
      <c r="I255" s="2" t="n">
        <f aca="false">IF(G255="","",D255*1000000/Inputs!$B$4^2*Inputs!$B$5/G255)</f>
        <v>2.45305723610977</v>
      </c>
      <c r="J255" s="2" t="n">
        <f aca="false">IF(C255="A",Inputs!$B$7,IF(C255="B",Inputs!$B$8,IF(C255="C",Inputs!$B$9,0)))</f>
        <v>1</v>
      </c>
      <c r="K255" s="2" t="n">
        <f aca="false">IF(AND(E255&lt;&gt;"",G255&lt;&gt;"",J255&gt;0),IF(I255&gt;=Inputs!$B$6,1,0),0)</f>
        <v>1</v>
      </c>
      <c r="L255" s="5" t="n">
        <v>0</v>
      </c>
      <c r="M255" s="5" t="n">
        <v>558.722</v>
      </c>
      <c r="N255" s="5" t="n">
        <v>2.84</v>
      </c>
      <c r="O255" s="4" t="s">
        <v>64</v>
      </c>
      <c r="P255" s="2" t="n">
        <f aca="false">IF(K255=1,J255/G255^2,0)</f>
        <v>0.74650555524053</v>
      </c>
      <c r="Q255" s="2" t="n">
        <f aca="false">IF(K255=1,((E255-Result!$B$7*D255)/G255)^2,0)</f>
        <v>0.089628242127815</v>
      </c>
    </row>
    <row r="256" customFormat="false" ht="15" hidden="false" customHeight="false" outlineLevel="0" collapsed="false">
      <c r="A256" s="4" t="s">
        <v>41</v>
      </c>
      <c r="B256" s="4" t="s">
        <v>321</v>
      </c>
      <c r="C256" s="4" t="s">
        <v>63</v>
      </c>
      <c r="D256" s="5" t="n">
        <v>704.932</v>
      </c>
      <c r="E256" s="5" t="n">
        <v>2.47</v>
      </c>
      <c r="F256" s="5" t="n">
        <v>0.00509600686181515</v>
      </c>
      <c r="G256" s="5" t="n">
        <v>1.1574</v>
      </c>
      <c r="H256" s="2" t="n">
        <f aca="false">D256*F256</f>
        <v>3.59233830911308</v>
      </c>
      <c r="I256" s="2" t="n">
        <f aca="false">IF(G256="","",D256*1000000/Inputs!$B$4^2*Inputs!$B$5/G256)</f>
        <v>3.09509276849686</v>
      </c>
      <c r="J256" s="2" t="n">
        <f aca="false">IF(C256="A",Inputs!$B$7,IF(C256="B",Inputs!$B$8,IF(C256="C",Inputs!$B$9,0)))</f>
        <v>1</v>
      </c>
      <c r="K256" s="2" t="n">
        <f aca="false">IF(AND(E256&lt;&gt;"",G256&lt;&gt;"",J256&gt;0),IF(I256&gt;=Inputs!$B$6,1,0),0)</f>
        <v>1</v>
      </c>
      <c r="L256" s="5" t="n">
        <v>0</v>
      </c>
      <c r="M256" s="5" t="n">
        <v>704.9559</v>
      </c>
      <c r="N256" s="5" t="n">
        <v>3.58</v>
      </c>
      <c r="O256" s="4" t="s">
        <v>64</v>
      </c>
      <c r="P256" s="2" t="n">
        <f aca="false">IF(K256=1,J256/G256^2,0)</f>
        <v>0.74650555524053</v>
      </c>
      <c r="Q256" s="2" t="n">
        <f aca="false">IF(K256=1,((E256-Result!$B$7*D256)/G256)^2,0)</f>
        <v>0.890977363512526</v>
      </c>
    </row>
    <row r="257" customFormat="false" ht="15" hidden="false" customHeight="false" outlineLevel="0" collapsed="false">
      <c r="A257" s="4" t="s">
        <v>41</v>
      </c>
      <c r="B257" s="4" t="s">
        <v>322</v>
      </c>
      <c r="C257" s="4" t="s">
        <v>63</v>
      </c>
      <c r="D257" s="5" t="n">
        <v>833.2082</v>
      </c>
      <c r="E257" s="5" t="n">
        <v>5.41</v>
      </c>
      <c r="F257" s="5" t="n">
        <v>0.00509616549687388</v>
      </c>
      <c r="G257" s="5" t="n">
        <v>1.1574</v>
      </c>
      <c r="H257" s="2" t="n">
        <f aca="false">D257*F257</f>
        <v>4.24616688055239</v>
      </c>
      <c r="I257" s="2" t="n">
        <f aca="false">IF(G257="","",D257*1000000/Inputs!$B$4^2*Inputs!$B$5/G257)</f>
        <v>3.65830558759184</v>
      </c>
      <c r="J257" s="2" t="n">
        <f aca="false">IF(C257="A",Inputs!$B$7,IF(C257="B",Inputs!$B$8,IF(C257="C",Inputs!$B$9,0)))</f>
        <v>1</v>
      </c>
      <c r="K257" s="2" t="n">
        <f aca="false">IF(AND(E257&lt;&gt;"",G257&lt;&gt;"",J257&gt;0),IF(I257&gt;=Inputs!$B$6,1,0),0)</f>
        <v>1</v>
      </c>
      <c r="L257" s="5" t="n">
        <v>0</v>
      </c>
      <c r="M257" s="5" t="n">
        <v>833.2396</v>
      </c>
      <c r="N257" s="5" t="n">
        <v>4.24</v>
      </c>
      <c r="O257" s="4" t="s">
        <v>64</v>
      </c>
      <c r="P257" s="2" t="n">
        <f aca="false">IF(K257=1,J257/G257^2,0)</f>
        <v>0.74650555524053</v>
      </c>
      <c r="Q257" s="2" t="n">
        <f aca="false">IF(K257=1,((E257-Result!$B$7*D257)/G257)^2,0)</f>
        <v>1.07361941630967</v>
      </c>
    </row>
    <row r="258" customFormat="false" ht="15" hidden="false" customHeight="false" outlineLevel="0" collapsed="false">
      <c r="A258" s="4" t="s">
        <v>41</v>
      </c>
      <c r="B258" s="4" t="s">
        <v>323</v>
      </c>
      <c r="C258" s="4" t="s">
        <v>63</v>
      </c>
      <c r="D258" s="5" t="n">
        <v>164.9393</v>
      </c>
      <c r="E258" s="5" t="n">
        <v>0.75</v>
      </c>
      <c r="F258" s="5" t="n">
        <v>0.00509623332790628</v>
      </c>
      <c r="G258" s="5" t="n">
        <v>1.1574</v>
      </c>
      <c r="H258" s="2" t="n">
        <f aca="false">D258*F258</f>
        <v>0.840569157741532</v>
      </c>
      <c r="I258" s="2" t="n">
        <f aca="false">IF(G258="","",D258*1000000/Inputs!$B$4^2*Inputs!$B$5/G258)</f>
        <v>0.724186779250955</v>
      </c>
      <c r="J258" s="2" t="n">
        <f aca="false">IF(C258="A",Inputs!$B$7,IF(C258="B",Inputs!$B$8,IF(C258="C",Inputs!$B$9,0)))</f>
        <v>1</v>
      </c>
      <c r="K258" s="2" t="n">
        <f aca="false">IF(AND(E258&lt;&gt;"",G258&lt;&gt;"",J258&gt;0),IF(I258&gt;=Inputs!$B$6,1,0),0)</f>
        <v>0</v>
      </c>
      <c r="L258" s="5" t="n">
        <v>0</v>
      </c>
      <c r="M258" s="5" t="n">
        <v>164.9429</v>
      </c>
      <c r="N258" s="5" t="n">
        <v>0.83</v>
      </c>
      <c r="O258" s="4" t="s">
        <v>64</v>
      </c>
      <c r="P258" s="2" t="n">
        <f aca="false">IF(K258=1,J258/G258^2,0)</f>
        <v>0</v>
      </c>
      <c r="Q258" s="2" t="n">
        <f aca="false">IF(K258=1,((E258-Result!$B$7*D258)/G258)^2,0)</f>
        <v>0</v>
      </c>
    </row>
    <row r="259" customFormat="false" ht="15" hidden="false" customHeight="false" outlineLevel="0" collapsed="false">
      <c r="A259" s="4" t="s">
        <v>41</v>
      </c>
      <c r="B259" s="4" t="s">
        <v>324</v>
      </c>
      <c r="C259" s="4" t="s">
        <v>63</v>
      </c>
      <c r="D259" s="5" t="n">
        <v>403.7821</v>
      </c>
      <c r="E259" s="5" t="n">
        <v>3.14</v>
      </c>
      <c r="F259" s="5" t="n">
        <v>0.00509613519573844</v>
      </c>
      <c r="G259" s="5" t="n">
        <v>1.1574</v>
      </c>
      <c r="H259" s="2" t="n">
        <f aca="false">D259*F259</f>
        <v>2.05772817121918</v>
      </c>
      <c r="I259" s="2" t="n">
        <f aca="false">IF(G259="","",D259*1000000/Inputs!$B$4^2*Inputs!$B$5/G259)</f>
        <v>1.77285618720455</v>
      </c>
      <c r="J259" s="2" t="n">
        <f aca="false">IF(C259="A",Inputs!$B$7,IF(C259="B",Inputs!$B$8,IF(C259="C",Inputs!$B$9,0)))</f>
        <v>1</v>
      </c>
      <c r="K259" s="2" t="n">
        <f aca="false">IF(AND(E259&lt;&gt;"",G259&lt;&gt;"",J259&gt;0),IF(I259&gt;=Inputs!$B$6,1,0),0)</f>
        <v>0</v>
      </c>
      <c r="L259" s="5" t="n">
        <v>0</v>
      </c>
      <c r="M259" s="5" t="n">
        <v>403.7952</v>
      </c>
      <c r="N259" s="5" t="n">
        <v>2.05</v>
      </c>
      <c r="O259" s="4" t="s">
        <v>64</v>
      </c>
      <c r="P259" s="2" t="n">
        <f aca="false">IF(K259=1,J259/G259^2,0)</f>
        <v>0</v>
      </c>
      <c r="Q259" s="2" t="n">
        <f aca="false">IF(K259=1,((E259-Result!$B$7*D259)/G259)^2,0)</f>
        <v>0</v>
      </c>
    </row>
    <row r="260" customFormat="false" ht="15" hidden="false" customHeight="false" outlineLevel="0" collapsed="false">
      <c r="A260" s="4" t="s">
        <v>41</v>
      </c>
      <c r="B260" s="4" t="s">
        <v>325</v>
      </c>
      <c r="C260" s="4" t="s">
        <v>63</v>
      </c>
      <c r="D260" s="5" t="n">
        <v>594.3658</v>
      </c>
      <c r="E260" s="5" t="n">
        <v>-0.98</v>
      </c>
      <c r="F260" s="5" t="n">
        <v>0.00509620485745169</v>
      </c>
      <c r="G260" s="5" t="n">
        <v>1.1574</v>
      </c>
      <c r="H260" s="2" t="n">
        <f aca="false">D260*F260</f>
        <v>3.02900987706316</v>
      </c>
      <c r="I260" s="2" t="n">
        <f aca="false">IF(G260="","",D260*1000000/Inputs!$B$4^2*Inputs!$B$5/G260)</f>
        <v>2.60963793588864</v>
      </c>
      <c r="J260" s="2" t="n">
        <f aca="false">IF(C260="A",Inputs!$B$7,IF(C260="B",Inputs!$B$8,IF(C260="C",Inputs!$B$9,0)))</f>
        <v>1</v>
      </c>
      <c r="K260" s="2" t="n">
        <f aca="false">IF(AND(E260&lt;&gt;"",G260&lt;&gt;"",J260&gt;0),IF(I260&gt;=Inputs!$B$6,1,0),0)</f>
        <v>1</v>
      </c>
      <c r="L260" s="5" t="n">
        <v>0</v>
      </c>
      <c r="M260" s="5" t="n">
        <v>594.3872</v>
      </c>
      <c r="N260" s="5" t="n">
        <v>3.02</v>
      </c>
      <c r="O260" s="4" t="s">
        <v>64</v>
      </c>
      <c r="P260" s="2" t="n">
        <f aca="false">IF(K260=1,J260/G260^2,0)</f>
        <v>0.74650555524053</v>
      </c>
      <c r="Q260" s="2" t="n">
        <f aca="false">IF(K260=1,((E260-Result!$B$7*D260)/G260)^2,0)</f>
        <v>11.8470862300626</v>
      </c>
    </row>
    <row r="261" customFormat="false" ht="15" hidden="false" customHeight="false" outlineLevel="0" collapsed="false">
      <c r="A261" s="4" t="s">
        <v>37</v>
      </c>
      <c r="B261" s="4" t="s">
        <v>326</v>
      </c>
      <c r="C261" s="4" t="s">
        <v>63</v>
      </c>
      <c r="D261" s="5" t="n">
        <v>213.8736</v>
      </c>
      <c r="E261" s="5" t="n">
        <v>2.5</v>
      </c>
      <c r="F261" s="5" t="n">
        <v>0.00507703548697681</v>
      </c>
      <c r="G261" s="5" t="n">
        <v>1.2613</v>
      </c>
      <c r="H261" s="2" t="n">
        <f aca="false">D261*F261</f>
        <v>1.08584385692748</v>
      </c>
      <c r="I261" s="2" t="n">
        <f aca="false">IF(G261="","",D261*1000000/Inputs!$B$4^2*Inputs!$B$5/G261)</f>
        <v>0.861685345354976</v>
      </c>
      <c r="J261" s="2" t="n">
        <f aca="false">IF(C261="A",Inputs!$B$7,IF(C261="B",Inputs!$B$8,IF(C261="C",Inputs!$B$9,0)))</f>
        <v>1</v>
      </c>
      <c r="K261" s="2" t="n">
        <f aca="false">IF(AND(E261&lt;&gt;"",G261&lt;&gt;"",J261&gt;0),IF(I261&gt;=Inputs!$B$6,1,0),0)</f>
        <v>0</v>
      </c>
      <c r="L261" s="5" t="n">
        <v>0</v>
      </c>
      <c r="M261" s="5" t="n">
        <v>213.8725</v>
      </c>
      <c r="N261" s="5" t="n">
        <v>1.09</v>
      </c>
      <c r="O261" s="4" t="s">
        <v>64</v>
      </c>
      <c r="P261" s="2" t="n">
        <f aca="false">IF(K261=1,J261/G261^2,0)</f>
        <v>0</v>
      </c>
      <c r="Q261" s="2" t="n">
        <f aca="false">IF(K261=1,((E261-Result!$B$7*D261)/G261)^2,0)</f>
        <v>0</v>
      </c>
    </row>
    <row r="262" customFormat="false" ht="15" hidden="false" customHeight="false" outlineLevel="0" collapsed="false">
      <c r="A262" s="4" t="s">
        <v>37</v>
      </c>
      <c r="B262" s="4" t="s">
        <v>327</v>
      </c>
      <c r="C262" s="4" t="s">
        <v>63</v>
      </c>
      <c r="D262" s="5" t="n">
        <v>471.1045</v>
      </c>
      <c r="E262" s="5" t="n">
        <v>2.36</v>
      </c>
      <c r="F262" s="5" t="n">
        <v>0.00507721414791613</v>
      </c>
      <c r="G262" s="5" t="n">
        <v>1.2613</v>
      </c>
      <c r="H262" s="2" t="n">
        <f aca="false">D262*F262</f>
        <v>2.39189843254696</v>
      </c>
      <c r="I262" s="2" t="n">
        <f aca="false">IF(G262="","",D262*1000000/Inputs!$B$4^2*Inputs!$B$5/G262)</f>
        <v>1.89805494357781</v>
      </c>
      <c r="J262" s="2" t="n">
        <f aca="false">IF(C262="A",Inputs!$B$7,IF(C262="B",Inputs!$B$8,IF(C262="C",Inputs!$B$9,0)))</f>
        <v>1</v>
      </c>
      <c r="K262" s="2" t="n">
        <f aca="false">IF(AND(E262&lt;&gt;"",G262&lt;&gt;"",J262&gt;0),IF(I262&gt;=Inputs!$B$6,1,0),0)</f>
        <v>0</v>
      </c>
      <c r="L262" s="5" t="n">
        <v>1</v>
      </c>
      <c r="M262" s="5" t="n">
        <v>471.103</v>
      </c>
      <c r="N262" s="5" t="n">
        <v>2.39</v>
      </c>
      <c r="O262" s="4" t="s">
        <v>64</v>
      </c>
      <c r="P262" s="2" t="n">
        <f aca="false">IF(K262=1,J262/G262^2,0)</f>
        <v>0</v>
      </c>
      <c r="Q262" s="2" t="n">
        <f aca="false">IF(K262=1,((E262-Result!$B$7*D262)/G262)^2,0)</f>
        <v>0</v>
      </c>
    </row>
    <row r="263" customFormat="false" ht="15" hidden="false" customHeight="false" outlineLevel="0" collapsed="false">
      <c r="A263" s="4" t="s">
        <v>37</v>
      </c>
      <c r="B263" s="4" t="s">
        <v>328</v>
      </c>
      <c r="C263" s="4" t="s">
        <v>63</v>
      </c>
      <c r="D263" s="5" t="n">
        <v>331.1542</v>
      </c>
      <c r="E263" s="5" t="n">
        <v>-1</v>
      </c>
      <c r="F263" s="5" t="n">
        <v>0.00507706803951504</v>
      </c>
      <c r="G263" s="5" t="n">
        <v>1.2613</v>
      </c>
      <c r="H263" s="2" t="n">
        <f aca="false">D263*F263</f>
        <v>1.68129240497117</v>
      </c>
      <c r="I263" s="2" t="n">
        <f aca="false">IF(G263="","",D263*1000000/Inputs!$B$4^2*Inputs!$B$5/G263)</f>
        <v>1.33420263741177</v>
      </c>
      <c r="J263" s="2" t="n">
        <f aca="false">IF(C263="A",Inputs!$B$7,IF(C263="B",Inputs!$B$8,IF(C263="C",Inputs!$B$9,0)))</f>
        <v>1</v>
      </c>
      <c r="K263" s="2" t="n">
        <f aca="false">IF(AND(E263&lt;&gt;"",G263&lt;&gt;"",J263&gt;0),IF(I263&gt;=Inputs!$B$6,1,0),0)</f>
        <v>0</v>
      </c>
      <c r="L263" s="5" t="n">
        <v>1</v>
      </c>
      <c r="M263" s="5" t="n">
        <v>331.1532</v>
      </c>
      <c r="N263" s="5" t="n">
        <v>1.68</v>
      </c>
      <c r="O263" s="4" t="s">
        <v>64</v>
      </c>
      <c r="P263" s="2" t="n">
        <f aca="false">IF(K263=1,J263/G263^2,0)</f>
        <v>0</v>
      </c>
      <c r="Q263" s="2" t="n">
        <f aca="false">IF(K263=1,((E263-Result!$B$7*D263)/G263)^2,0)</f>
        <v>0</v>
      </c>
    </row>
    <row r="264" customFormat="false" ht="15" hidden="false" customHeight="false" outlineLevel="0" collapsed="false">
      <c r="A264" s="4" t="s">
        <v>37</v>
      </c>
      <c r="B264" s="4" t="s">
        <v>329</v>
      </c>
      <c r="C264" s="4" t="s">
        <v>63</v>
      </c>
      <c r="D264" s="5" t="n">
        <v>326.1294</v>
      </c>
      <c r="E264" s="5" t="n">
        <v>-1.4</v>
      </c>
      <c r="F264" s="5" t="n">
        <v>0.00507712637695079</v>
      </c>
      <c r="G264" s="5" t="n">
        <v>1.2613</v>
      </c>
      <c r="H264" s="2" t="n">
        <f aca="false">D264*F264</f>
        <v>1.65580017903913</v>
      </c>
      <c r="I264" s="2" t="n">
        <f aca="false">IF(G264="","",D264*1000000/Inputs!$B$4^2*Inputs!$B$5/G264)</f>
        <v>1.31395798578885</v>
      </c>
      <c r="J264" s="2" t="n">
        <f aca="false">IF(C264="A",Inputs!$B$7,IF(C264="B",Inputs!$B$8,IF(C264="C",Inputs!$B$9,0)))</f>
        <v>1</v>
      </c>
      <c r="K264" s="2" t="n">
        <f aca="false">IF(AND(E264&lt;&gt;"",G264&lt;&gt;"",J264&gt;0),IF(I264&gt;=Inputs!$B$6,1,0),0)</f>
        <v>0</v>
      </c>
      <c r="L264" s="5" t="n">
        <v>0</v>
      </c>
      <c r="M264" s="5" t="n">
        <v>326.1286</v>
      </c>
      <c r="N264" s="5" t="n">
        <v>1.66</v>
      </c>
      <c r="O264" s="4" t="s">
        <v>64</v>
      </c>
      <c r="P264" s="2" t="n">
        <f aca="false">IF(K264=1,J264/G264^2,0)</f>
        <v>0</v>
      </c>
      <c r="Q264" s="2" t="n">
        <f aca="false">IF(K264=1,((E264-Result!$B$7*D264)/G264)^2,0)</f>
        <v>0</v>
      </c>
    </row>
    <row r="265" customFormat="false" ht="15" hidden="false" customHeight="false" outlineLevel="0" collapsed="false">
      <c r="A265" s="4" t="s">
        <v>37</v>
      </c>
      <c r="B265" s="4" t="s">
        <v>330</v>
      </c>
      <c r="C265" s="4" t="s">
        <v>63</v>
      </c>
      <c r="D265" s="5" t="n">
        <v>234.1747</v>
      </c>
      <c r="E265" s="5" t="n">
        <v>3.18</v>
      </c>
      <c r="F265" s="5" t="n">
        <v>0.00507710402929947</v>
      </c>
      <c r="G265" s="5" t="n">
        <v>1.2613</v>
      </c>
      <c r="H265" s="2" t="n">
        <f aca="false">D265*F265</f>
        <v>1.18892931293</v>
      </c>
      <c r="I265" s="2" t="n">
        <f aca="false">IF(G265="","",D265*1000000/Inputs!$B$4^2*Inputs!$B$5/G265)</f>
        <v>0.94347739619522</v>
      </c>
      <c r="J265" s="2" t="n">
        <f aca="false">IF(C265="A",Inputs!$B$7,IF(C265="B",Inputs!$B$8,IF(C265="C",Inputs!$B$9,0)))</f>
        <v>1</v>
      </c>
      <c r="K265" s="2" t="n">
        <f aca="false">IF(AND(E265&lt;&gt;"",G265&lt;&gt;"",J265&gt;0),IF(I265&gt;=Inputs!$B$6,1,0),0)</f>
        <v>0</v>
      </c>
      <c r="L265" s="5" t="n">
        <v>1</v>
      </c>
      <c r="M265" s="5" t="n">
        <v>234.1739</v>
      </c>
      <c r="N265" s="5" t="n">
        <v>1.19</v>
      </c>
      <c r="O265" s="4" t="s">
        <v>64</v>
      </c>
      <c r="P265" s="2" t="n">
        <f aca="false">IF(K265=1,J265/G265^2,0)</f>
        <v>0</v>
      </c>
      <c r="Q265" s="2" t="n">
        <f aca="false">IF(K265=1,((E265-Result!$B$7*D265)/G265)^2,0)</f>
        <v>0</v>
      </c>
    </row>
    <row r="266" customFormat="false" ht="15" hidden="false" customHeight="false" outlineLevel="0" collapsed="false">
      <c r="A266" s="4" t="s">
        <v>37</v>
      </c>
      <c r="B266" s="4" t="s">
        <v>331</v>
      </c>
      <c r="C266" s="4" t="s">
        <v>63</v>
      </c>
      <c r="D266" s="5" t="n">
        <v>239.1988</v>
      </c>
      <c r="E266" s="5" t="n">
        <v>3.58</v>
      </c>
      <c r="F266" s="5" t="n">
        <v>0.00507702393124142</v>
      </c>
      <c r="G266" s="5" t="n">
        <v>1.2613</v>
      </c>
      <c r="H266" s="2" t="n">
        <f aca="false">D266*F266</f>
        <v>1.21441803192423</v>
      </c>
      <c r="I266" s="2" t="n">
        <f aca="false">IF(G266="","",D266*1000000/Inputs!$B$4^2*Inputs!$B$5/G266)</f>
        <v>0.963719227555416</v>
      </c>
      <c r="J266" s="2" t="n">
        <f aca="false">IF(C266="A",Inputs!$B$7,IF(C266="B",Inputs!$B$8,IF(C266="C",Inputs!$B$9,0)))</f>
        <v>1</v>
      </c>
      <c r="K266" s="2" t="n">
        <f aca="false">IF(AND(E266&lt;&gt;"",G266&lt;&gt;"",J266&gt;0),IF(I266&gt;=Inputs!$B$6,1,0),0)</f>
        <v>0</v>
      </c>
      <c r="L266" s="5" t="n">
        <v>0</v>
      </c>
      <c r="M266" s="5" t="n">
        <v>239.1985</v>
      </c>
      <c r="N266" s="5" t="n">
        <v>1.21</v>
      </c>
      <c r="O266" s="4" t="s">
        <v>64</v>
      </c>
      <c r="P266" s="2" t="n">
        <f aca="false">IF(K266=1,J266/G266^2,0)</f>
        <v>0</v>
      </c>
      <c r="Q266" s="2" t="n">
        <f aca="false">IF(K266=1,((E266-Result!$B$7*D266)/G266)^2,0)</f>
        <v>0</v>
      </c>
    </row>
    <row r="267" customFormat="false" ht="15" hidden="false" customHeight="false" outlineLevel="0" collapsed="false">
      <c r="A267" s="4" t="s">
        <v>37</v>
      </c>
      <c r="B267" s="4" t="s">
        <v>332</v>
      </c>
      <c r="C267" s="4" t="s">
        <v>63</v>
      </c>
      <c r="D267" s="5" t="n">
        <v>176.9558</v>
      </c>
      <c r="E267" s="5" t="n">
        <v>1.29</v>
      </c>
      <c r="F267" s="5" t="n">
        <v>0.00507700769062828</v>
      </c>
      <c r="G267" s="5" t="n">
        <v>1.2613</v>
      </c>
      <c r="H267" s="2" t="n">
        <f aca="false">D267*F267</f>
        <v>0.898405957501281</v>
      </c>
      <c r="I267" s="2" t="n">
        <f aca="false">IF(G267="","",D267*1000000/Inputs!$B$4^2*Inputs!$B$5/G267)</f>
        <v>0.712945495075438</v>
      </c>
      <c r="J267" s="2" t="n">
        <f aca="false">IF(C267="A",Inputs!$B$7,IF(C267="B",Inputs!$B$8,IF(C267="C",Inputs!$B$9,0)))</f>
        <v>1</v>
      </c>
      <c r="K267" s="2" t="n">
        <f aca="false">IF(AND(E267&lt;&gt;"",G267&lt;&gt;"",J267&gt;0),IF(I267&gt;=Inputs!$B$6,1,0),0)</f>
        <v>0</v>
      </c>
      <c r="L267" s="5" t="n">
        <v>1</v>
      </c>
      <c r="M267" s="5" t="n">
        <v>176.9547</v>
      </c>
      <c r="N267" s="5" t="n">
        <v>0.9</v>
      </c>
      <c r="O267" s="4" t="s">
        <v>64</v>
      </c>
      <c r="P267" s="2" t="n">
        <f aca="false">IF(K267=1,J267/G267^2,0)</f>
        <v>0</v>
      </c>
      <c r="Q267" s="2" t="n">
        <f aca="false">IF(K267=1,((E267-Result!$B$7*D267)/G267)^2,0)</f>
        <v>0</v>
      </c>
    </row>
    <row r="268" customFormat="false" ht="15" hidden="false" customHeight="false" outlineLevel="0" collapsed="false">
      <c r="A268" s="4" t="s">
        <v>37</v>
      </c>
      <c r="B268" s="4" t="s">
        <v>333</v>
      </c>
      <c r="C268" s="4" t="s">
        <v>63</v>
      </c>
      <c r="D268" s="5" t="n">
        <v>232.0388</v>
      </c>
      <c r="E268" s="5" t="n">
        <v>1.25</v>
      </c>
      <c r="F268" s="5" t="n">
        <v>0.0050770192474573</v>
      </c>
      <c r="G268" s="5" t="n">
        <v>1.2613</v>
      </c>
      <c r="H268" s="2" t="n">
        <f aca="false">D268*F268</f>
        <v>1.1780654537569</v>
      </c>
      <c r="I268" s="2" t="n">
        <f aca="false">IF(G268="","",D268*1000000/Inputs!$B$4^2*Inputs!$B$5/G268)</f>
        <v>0.934871968834649</v>
      </c>
      <c r="J268" s="2" t="n">
        <f aca="false">IF(C268="A",Inputs!$B$7,IF(C268="B",Inputs!$B$8,IF(C268="C",Inputs!$B$9,0)))</f>
        <v>1</v>
      </c>
      <c r="K268" s="2" t="n">
        <f aca="false">IF(AND(E268&lt;&gt;"",G268&lt;&gt;"",J268&gt;0),IF(I268&gt;=Inputs!$B$6,1,0),0)</f>
        <v>0</v>
      </c>
      <c r="L268" s="5" t="n">
        <v>0</v>
      </c>
      <c r="M268" s="5" t="n">
        <v>232.0378</v>
      </c>
      <c r="N268" s="5" t="n">
        <v>1.18</v>
      </c>
      <c r="O268" s="4" t="s">
        <v>64</v>
      </c>
      <c r="P268" s="2" t="n">
        <f aca="false">IF(K268=1,J268/G268^2,0)</f>
        <v>0</v>
      </c>
      <c r="Q268" s="2" t="n">
        <f aca="false">IF(K268=1,((E268-Result!$B$7*D268)/G268)^2,0)</f>
        <v>0</v>
      </c>
    </row>
    <row r="269" customFormat="false" ht="15" hidden="false" customHeight="false" outlineLevel="0" collapsed="false">
      <c r="A269" s="4" t="s">
        <v>37</v>
      </c>
      <c r="B269" s="4" t="s">
        <v>334</v>
      </c>
      <c r="C269" s="4" t="s">
        <v>63</v>
      </c>
      <c r="D269" s="5" t="n">
        <v>334.2876</v>
      </c>
      <c r="E269" s="5" t="n">
        <v>2.57</v>
      </c>
      <c r="F269" s="5" t="n">
        <v>0.00507735597267088</v>
      </c>
      <c r="G269" s="5" t="n">
        <v>1.2613</v>
      </c>
      <c r="H269" s="2" t="n">
        <f aca="false">D269*F269</f>
        <v>1.69729714244981</v>
      </c>
      <c r="I269" s="2" t="n">
        <f aca="false">IF(G269="","",D269*1000000/Inputs!$B$4^2*Inputs!$B$5/G269)</f>
        <v>1.34682693915418</v>
      </c>
      <c r="J269" s="2" t="n">
        <f aca="false">IF(C269="A",Inputs!$B$7,IF(C269="B",Inputs!$B$8,IF(C269="C",Inputs!$B$9,0)))</f>
        <v>1</v>
      </c>
      <c r="K269" s="2" t="n">
        <f aca="false">IF(AND(E269&lt;&gt;"",G269&lt;&gt;"",J269&gt;0),IF(I269&gt;=Inputs!$B$6,1,0),0)</f>
        <v>0</v>
      </c>
      <c r="L269" s="5" t="n">
        <v>1</v>
      </c>
      <c r="M269" s="5" t="n">
        <v>334.2869</v>
      </c>
      <c r="N269" s="5" t="n">
        <v>1.7</v>
      </c>
      <c r="O269" s="4" t="s">
        <v>64</v>
      </c>
      <c r="P269" s="2" t="n">
        <f aca="false">IF(K269=1,J269/G269^2,0)</f>
        <v>0</v>
      </c>
      <c r="Q269" s="2" t="n">
        <f aca="false">IF(K269=1,((E269-Result!$B$7*D269)/G269)^2,0)</f>
        <v>0</v>
      </c>
    </row>
    <row r="270" customFormat="false" ht="15" hidden="false" customHeight="false" outlineLevel="0" collapsed="false">
      <c r="A270" s="4" t="s">
        <v>37</v>
      </c>
      <c r="B270" s="4" t="s">
        <v>335</v>
      </c>
      <c r="C270" s="4" t="s">
        <v>63</v>
      </c>
      <c r="D270" s="5" t="n">
        <v>222.2405</v>
      </c>
      <c r="E270" s="5" t="n">
        <v>-0.82</v>
      </c>
      <c r="F270" s="5" t="n">
        <v>0.0050772682768786</v>
      </c>
      <c r="G270" s="5" t="n">
        <v>1.2613</v>
      </c>
      <c r="H270" s="2" t="n">
        <f aca="false">D270*F270</f>
        <v>1.12837464048764</v>
      </c>
      <c r="I270" s="2" t="n">
        <f aca="false">IF(G270="","",D270*1000000/Inputs!$B$4^2*Inputs!$B$5/G270)</f>
        <v>0.895395139906761</v>
      </c>
      <c r="J270" s="2" t="n">
        <f aca="false">IF(C270="A",Inputs!$B$7,IF(C270="B",Inputs!$B$8,IF(C270="C",Inputs!$B$9,0)))</f>
        <v>1</v>
      </c>
      <c r="K270" s="2" t="n">
        <f aca="false">IF(AND(E270&lt;&gt;"",G270&lt;&gt;"",J270&gt;0),IF(I270&gt;=Inputs!$B$6,1,0),0)</f>
        <v>0</v>
      </c>
      <c r="L270" s="5" t="n">
        <v>1</v>
      </c>
      <c r="M270" s="5" t="n">
        <v>222.2396</v>
      </c>
      <c r="N270" s="5" t="n">
        <v>1.13</v>
      </c>
      <c r="O270" s="4" t="s">
        <v>64</v>
      </c>
      <c r="P270" s="2" t="n">
        <f aca="false">IF(K270=1,J270/G270^2,0)</f>
        <v>0</v>
      </c>
      <c r="Q270" s="2" t="n">
        <f aca="false">IF(K270=1,((E270-Result!$B$7*D270)/G270)^2,0)</f>
        <v>0</v>
      </c>
    </row>
    <row r="271" customFormat="false" ht="15" hidden="false" customHeight="false" outlineLevel="0" collapsed="false">
      <c r="A271" s="4" t="s">
        <v>37</v>
      </c>
      <c r="B271" s="4" t="s">
        <v>336</v>
      </c>
      <c r="C271" s="4" t="s">
        <v>63</v>
      </c>
      <c r="D271" s="5" t="n">
        <v>206.6957</v>
      </c>
      <c r="E271" s="5" t="n">
        <v>-0.87</v>
      </c>
      <c r="F271" s="5" t="n">
        <v>0.00507729119472348</v>
      </c>
      <c r="G271" s="5" t="n">
        <v>1.2613</v>
      </c>
      <c r="H271" s="2" t="n">
        <f aca="false">D271*F271</f>
        <v>1.04945425759721</v>
      </c>
      <c r="I271" s="2" t="n">
        <f aca="false">IF(G271="","",D271*1000000/Inputs!$B$4^2*Inputs!$B$5/G271)</f>
        <v>0.832765968487409</v>
      </c>
      <c r="J271" s="2" t="n">
        <f aca="false">IF(C271="A",Inputs!$B$7,IF(C271="B",Inputs!$B$8,IF(C271="C",Inputs!$B$9,0)))</f>
        <v>1</v>
      </c>
      <c r="K271" s="2" t="n">
        <f aca="false">IF(AND(E271&lt;&gt;"",G271&lt;&gt;"",J271&gt;0),IF(I271&gt;=Inputs!$B$6,1,0),0)</f>
        <v>0</v>
      </c>
      <c r="L271" s="5" t="n">
        <v>1</v>
      </c>
      <c r="M271" s="5" t="n">
        <v>206.6949</v>
      </c>
      <c r="N271" s="5" t="n">
        <v>1.05</v>
      </c>
      <c r="O271" s="4" t="s">
        <v>64</v>
      </c>
      <c r="P271" s="2" t="n">
        <f aca="false">IF(K271=1,J271/G271^2,0)</f>
        <v>0</v>
      </c>
      <c r="Q271" s="2" t="n">
        <f aca="false">IF(K271=1,((E271-Result!$B$7*D271)/G271)^2,0)</f>
        <v>0</v>
      </c>
    </row>
    <row r="272" customFormat="false" ht="15" hidden="false" customHeight="false" outlineLevel="0" collapsed="false">
      <c r="A272" s="4" t="s">
        <v>37</v>
      </c>
      <c r="B272" s="4" t="s">
        <v>337</v>
      </c>
      <c r="C272" s="4" t="s">
        <v>63</v>
      </c>
      <c r="D272" s="5" t="n">
        <v>181.4216</v>
      </c>
      <c r="E272" s="5" t="n">
        <v>3.27</v>
      </c>
      <c r="F272" s="5" t="n">
        <v>0.00507741600788952</v>
      </c>
      <c r="G272" s="5" t="n">
        <v>1.2613</v>
      </c>
      <c r="H272" s="2" t="n">
        <f aca="false">D272*F272</f>
        <v>0.92115293601693</v>
      </c>
      <c r="I272" s="2" t="n">
        <f aca="false">IF(G272="","",D272*1000000/Inputs!$B$4^2*Inputs!$B$5/G272)</f>
        <v>0.730937965465828</v>
      </c>
      <c r="J272" s="2" t="n">
        <f aca="false">IF(C272="A",Inputs!$B$7,IF(C272="B",Inputs!$B$8,IF(C272="C",Inputs!$B$9,0)))</f>
        <v>1</v>
      </c>
      <c r="K272" s="2" t="n">
        <f aca="false">IF(AND(E272&lt;&gt;"",G272&lt;&gt;"",J272&gt;0),IF(I272&gt;=Inputs!$B$6,1,0),0)</f>
        <v>0</v>
      </c>
      <c r="L272" s="5" t="n">
        <v>1</v>
      </c>
      <c r="M272" s="5" t="n">
        <v>181.4209</v>
      </c>
      <c r="N272" s="5" t="n">
        <v>0.92</v>
      </c>
      <c r="O272" s="4" t="s">
        <v>64</v>
      </c>
      <c r="P272" s="2" t="n">
        <f aca="false">IF(K272=1,J272/G272^2,0)</f>
        <v>0</v>
      </c>
      <c r="Q272" s="2" t="n">
        <f aca="false">IF(K272=1,((E272-Result!$B$7*D272)/G272)^2,0)</f>
        <v>0</v>
      </c>
    </row>
    <row r="273" customFormat="false" ht="15" hidden="false" customHeight="false" outlineLevel="0" collapsed="false">
      <c r="A273" s="4" t="s">
        <v>37</v>
      </c>
      <c r="B273" s="4" t="s">
        <v>338</v>
      </c>
      <c r="C273" s="4" t="s">
        <v>63</v>
      </c>
      <c r="D273" s="5" t="n">
        <v>303.8705</v>
      </c>
      <c r="E273" s="5" t="n">
        <v>2.3</v>
      </c>
      <c r="F273" s="5" t="n">
        <v>0.00507741774592248</v>
      </c>
      <c r="G273" s="5" t="n">
        <v>1.2613</v>
      </c>
      <c r="H273" s="2" t="n">
        <f aca="false">D273*F273</f>
        <v>1.54287746916234</v>
      </c>
      <c r="I273" s="2" t="n">
        <f aca="false">IF(G273="","",D273*1000000/Inputs!$B$4^2*Inputs!$B$5/G273)</f>
        <v>1.22427806300399</v>
      </c>
      <c r="J273" s="2" t="n">
        <f aca="false">IF(C273="A",Inputs!$B$7,IF(C273="B",Inputs!$B$8,IF(C273="C",Inputs!$B$9,0)))</f>
        <v>1</v>
      </c>
      <c r="K273" s="2" t="n">
        <f aca="false">IF(AND(E273&lt;&gt;"",G273&lt;&gt;"",J273&gt;0),IF(I273&gt;=Inputs!$B$6,1,0),0)</f>
        <v>0</v>
      </c>
      <c r="L273" s="5" t="n">
        <v>1</v>
      </c>
      <c r="M273" s="5" t="n">
        <v>303.8691</v>
      </c>
      <c r="N273" s="5" t="n">
        <v>1.54</v>
      </c>
      <c r="O273" s="4" t="s">
        <v>64</v>
      </c>
      <c r="P273" s="2" t="n">
        <f aca="false">IF(K273=1,J273/G273^2,0)</f>
        <v>0</v>
      </c>
      <c r="Q273" s="2" t="n">
        <f aca="false">IF(K273=1,((E273-Result!$B$7*D273)/G273)^2,0)</f>
        <v>0</v>
      </c>
    </row>
    <row r="274" customFormat="false" ht="15" hidden="false" customHeight="false" outlineLevel="0" collapsed="false">
      <c r="A274" s="4" t="s">
        <v>37</v>
      </c>
      <c r="B274" s="4" t="s">
        <v>339</v>
      </c>
      <c r="C274" s="4" t="s">
        <v>63</v>
      </c>
      <c r="D274" s="5" t="n">
        <v>274.4068</v>
      </c>
      <c r="E274" s="5" t="n">
        <v>1.02</v>
      </c>
      <c r="F274" s="5" t="n">
        <v>0.00507753837791091</v>
      </c>
      <c r="G274" s="5" t="n">
        <v>1.2613</v>
      </c>
      <c r="H274" s="2" t="n">
        <f aca="false">D274*F274</f>
        <v>1.39331105815972</v>
      </c>
      <c r="I274" s="2" t="n">
        <f aca="false">IF(G274="","",D274*1000000/Inputs!$B$4^2*Inputs!$B$5/G274)</f>
        <v>1.10557038468401</v>
      </c>
      <c r="J274" s="2" t="n">
        <f aca="false">IF(C274="A",Inputs!$B$7,IF(C274="B",Inputs!$B$8,IF(C274="C",Inputs!$B$9,0)))</f>
        <v>1</v>
      </c>
      <c r="K274" s="2" t="n">
        <f aca="false">IF(AND(E274&lt;&gt;"",G274&lt;&gt;"",J274&gt;0),IF(I274&gt;=Inputs!$B$6,1,0),0)</f>
        <v>0</v>
      </c>
      <c r="L274" s="5" t="n">
        <v>1</v>
      </c>
      <c r="M274" s="5" t="n">
        <v>274.4061</v>
      </c>
      <c r="N274" s="5" t="n">
        <v>1.39</v>
      </c>
      <c r="O274" s="4" t="s">
        <v>64</v>
      </c>
      <c r="P274" s="2" t="n">
        <f aca="false">IF(K274=1,J274/G274^2,0)</f>
        <v>0</v>
      </c>
      <c r="Q274" s="2" t="n">
        <f aca="false">IF(K274=1,((E274-Result!$B$7*D274)/G274)^2,0)</f>
        <v>0</v>
      </c>
    </row>
    <row r="275" customFormat="false" ht="15" hidden="false" customHeight="false" outlineLevel="0" collapsed="false">
      <c r="A275" s="4" t="s">
        <v>37</v>
      </c>
      <c r="B275" s="4" t="s">
        <v>340</v>
      </c>
      <c r="C275" s="4" t="s">
        <v>63</v>
      </c>
      <c r="D275" s="5" t="n">
        <v>287.1053</v>
      </c>
      <c r="E275" s="5" t="n">
        <v>1.93</v>
      </c>
      <c r="F275" s="5" t="n">
        <v>0.00507746544882296</v>
      </c>
      <c r="G275" s="5" t="n">
        <v>1.2613</v>
      </c>
      <c r="H275" s="2" t="n">
        <f aca="false">D275*F275</f>
        <v>1.45776724092395</v>
      </c>
      <c r="I275" s="2" t="n">
        <f aca="false">IF(G275="","",D275*1000000/Inputs!$B$4^2*Inputs!$B$5/G275)</f>
        <v>1.15673196497251</v>
      </c>
      <c r="J275" s="2" t="n">
        <f aca="false">IF(C275="A",Inputs!$B$7,IF(C275="B",Inputs!$B$8,IF(C275="C",Inputs!$B$9,0)))</f>
        <v>1</v>
      </c>
      <c r="K275" s="2" t="n">
        <f aca="false">IF(AND(E275&lt;&gt;"",G275&lt;&gt;"",J275&gt;0),IF(I275&gt;=Inputs!$B$6,1,0),0)</f>
        <v>0</v>
      </c>
      <c r="L275" s="5" t="n">
        <v>0</v>
      </c>
      <c r="M275" s="5" t="n">
        <v>287.1049</v>
      </c>
      <c r="N275" s="5" t="n">
        <v>1.46</v>
      </c>
      <c r="O275" s="4" t="s">
        <v>64</v>
      </c>
      <c r="P275" s="2" t="n">
        <f aca="false">IF(K275=1,J275/G275^2,0)</f>
        <v>0</v>
      </c>
      <c r="Q275" s="2" t="n">
        <f aca="false">IF(K275=1,((E275-Result!$B$7*D275)/G275)^2,0)</f>
        <v>0</v>
      </c>
    </row>
    <row r="276" customFormat="false" ht="15" hidden="false" customHeight="false" outlineLevel="0" collapsed="false">
      <c r="A276" s="4" t="s">
        <v>37</v>
      </c>
      <c r="B276" s="4" t="s">
        <v>341</v>
      </c>
      <c r="C276" s="4" t="s">
        <v>63</v>
      </c>
      <c r="D276" s="5" t="n">
        <v>249.9226</v>
      </c>
      <c r="E276" s="5" t="n">
        <v>0.52</v>
      </c>
      <c r="F276" s="5" t="n">
        <v>0.00507745603581315</v>
      </c>
      <c r="G276" s="5" t="n">
        <v>1.2613</v>
      </c>
      <c r="H276" s="2" t="n">
        <f aca="false">D276*F276</f>
        <v>1.26897101385612</v>
      </c>
      <c r="I276" s="2" t="n">
        <f aca="false">IF(G276="","",D276*1000000/Inputs!$B$4^2*Inputs!$B$5/G276)</f>
        <v>1.00692484669924</v>
      </c>
      <c r="J276" s="2" t="n">
        <f aca="false">IF(C276="A",Inputs!$B$7,IF(C276="B",Inputs!$B$8,IF(C276="C",Inputs!$B$9,0)))</f>
        <v>1</v>
      </c>
      <c r="K276" s="2" t="n">
        <f aca="false">IF(AND(E276&lt;&gt;"",G276&lt;&gt;"",J276&gt;0),IF(I276&gt;=Inputs!$B$6,1,0),0)</f>
        <v>0</v>
      </c>
      <c r="L276" s="5" t="n">
        <v>0</v>
      </c>
      <c r="M276" s="5" t="n">
        <v>249.9218</v>
      </c>
      <c r="N276" s="5" t="n">
        <v>1.27</v>
      </c>
      <c r="O276" s="4" t="s">
        <v>64</v>
      </c>
      <c r="P276" s="2" t="n">
        <f aca="false">IF(K276=1,J276/G276^2,0)</f>
        <v>0</v>
      </c>
      <c r="Q276" s="2" t="n">
        <f aca="false">IF(K276=1,((E276-Result!$B$7*D276)/G276)^2,0)</f>
        <v>0</v>
      </c>
    </row>
    <row r="277" customFormat="false" ht="15" hidden="false" customHeight="false" outlineLevel="0" collapsed="false">
      <c r="A277" s="4" t="s">
        <v>37</v>
      </c>
      <c r="B277" s="4" t="s">
        <v>342</v>
      </c>
      <c r="C277" s="4" t="s">
        <v>63</v>
      </c>
      <c r="D277" s="5" t="n">
        <v>237.2238</v>
      </c>
      <c r="E277" s="5" t="n">
        <v>-0.39</v>
      </c>
      <c r="F277" s="5" t="n">
        <v>0.00507753996230264</v>
      </c>
      <c r="G277" s="5" t="n">
        <v>1.2613</v>
      </c>
      <c r="H277" s="2" t="n">
        <f aca="false">D277*F277</f>
        <v>1.20451332450929</v>
      </c>
      <c r="I277" s="2" t="n">
        <f aca="false">IF(G277="","",D277*1000000/Inputs!$B$4^2*Inputs!$B$5/G277)</f>
        <v>0.955762057726713</v>
      </c>
      <c r="J277" s="2" t="n">
        <f aca="false">IF(C277="A",Inputs!$B$7,IF(C277="B",Inputs!$B$8,IF(C277="C",Inputs!$B$9,0)))</f>
        <v>1</v>
      </c>
      <c r="K277" s="2" t="n">
        <f aca="false">IF(AND(E277&lt;&gt;"",G277&lt;&gt;"",J277&gt;0),IF(I277&gt;=Inputs!$B$6,1,0),0)</f>
        <v>0</v>
      </c>
      <c r="L277" s="5" t="n">
        <v>0</v>
      </c>
      <c r="M277" s="5" t="n">
        <v>237.2229</v>
      </c>
      <c r="N277" s="5" t="n">
        <v>1.2</v>
      </c>
      <c r="O277" s="4" t="s">
        <v>64</v>
      </c>
      <c r="P277" s="2" t="n">
        <f aca="false">IF(K277=1,J277/G277^2,0)</f>
        <v>0</v>
      </c>
      <c r="Q277" s="2" t="n">
        <f aca="false">IF(K277=1,((E277-Result!$B$7*D277)/G277)^2,0)</f>
        <v>0</v>
      </c>
    </row>
    <row r="278" customFormat="false" ht="15" hidden="false" customHeight="false" outlineLevel="0" collapsed="false">
      <c r="A278" s="4" t="s">
        <v>37</v>
      </c>
      <c r="B278" s="4" t="s">
        <v>343</v>
      </c>
      <c r="C278" s="4"/>
      <c r="D278" s="5" t="n">
        <v>46.9465</v>
      </c>
      <c r="E278" s="5"/>
      <c r="F278" s="5" t="n">
        <v>0.00507736949845829</v>
      </c>
      <c r="G278" s="5" t="n">
        <v>1.2613</v>
      </c>
      <c r="H278" s="2" t="n">
        <f aca="false">D278*F278</f>
        <v>0.238364727159372</v>
      </c>
      <c r="I278" s="2" t="n">
        <f aca="false">IF(G278="","",D278*1000000/Inputs!$B$4^2*Inputs!$B$5/G278)</f>
        <v>0.18914494853833</v>
      </c>
      <c r="J278" s="2" t="n">
        <f aca="false">IF(C278="A",Inputs!$B$7,IF(C278="B",Inputs!$B$8,IF(C278="C",Inputs!$B$9,0)))</f>
        <v>0</v>
      </c>
      <c r="K278" s="2" t="n">
        <f aca="false">IF(AND(E278&lt;&gt;"",G278&lt;&gt;"",J278&gt;0),IF(I278&gt;=Inputs!$B$6,1,0),0)</f>
        <v>0</v>
      </c>
      <c r="L278" s="5" t="n">
        <v>0</v>
      </c>
      <c r="M278" s="5" t="n">
        <v>46.9465</v>
      </c>
      <c r="N278" s="5" t="n">
        <v>0.24</v>
      </c>
      <c r="O278" s="4" t="s">
        <v>64</v>
      </c>
      <c r="P278" s="2" t="n">
        <f aca="false">IF(K278=1,J278/G278^2,0)</f>
        <v>0</v>
      </c>
      <c r="Q278" s="2" t="n">
        <f aca="false">IF(K278=1,((E278-Result!$B$7*D278)/G278)^2,0)</f>
        <v>0</v>
      </c>
    </row>
    <row r="279" customFormat="false" ht="15" hidden="false" customHeight="false" outlineLevel="0" collapsed="false">
      <c r="A279" s="4" t="s">
        <v>37</v>
      </c>
      <c r="B279" s="4" t="s">
        <v>344</v>
      </c>
      <c r="C279" s="4" t="s">
        <v>63</v>
      </c>
      <c r="D279" s="5" t="n">
        <v>316.6601</v>
      </c>
      <c r="E279" s="5" t="n">
        <v>1.97</v>
      </c>
      <c r="F279" s="5" t="n">
        <v>0.00507744247126647</v>
      </c>
      <c r="G279" s="5" t="n">
        <v>1.2613</v>
      </c>
      <c r="H279" s="2" t="n">
        <f aca="false">D279*F279</f>
        <v>1.60782344069549</v>
      </c>
      <c r="I279" s="2" t="n">
        <f aca="false">IF(G279="","",D279*1000000/Inputs!$B$4^2*Inputs!$B$5/G279)</f>
        <v>1.27580668034129</v>
      </c>
      <c r="J279" s="2" t="n">
        <f aca="false">IF(C279="A",Inputs!$B$7,IF(C279="B",Inputs!$B$8,IF(C279="C",Inputs!$B$9,0)))</f>
        <v>1</v>
      </c>
      <c r="K279" s="2" t="n">
        <f aca="false">IF(AND(E279&lt;&gt;"",G279&lt;&gt;"",J279&gt;0),IF(I279&gt;=Inputs!$B$6,1,0),0)</f>
        <v>0</v>
      </c>
      <c r="L279" s="5" t="n">
        <v>1</v>
      </c>
      <c r="M279" s="5" t="n">
        <v>316.6593</v>
      </c>
      <c r="N279" s="5" t="n">
        <v>1.61</v>
      </c>
      <c r="O279" s="4" t="s">
        <v>64</v>
      </c>
      <c r="P279" s="2" t="n">
        <f aca="false">IF(K279=1,J279/G279^2,0)</f>
        <v>0</v>
      </c>
      <c r="Q279" s="2" t="n">
        <f aca="false">IF(K279=1,((E279-Result!$B$7*D279)/G279)^2,0)</f>
        <v>0</v>
      </c>
    </row>
    <row r="280" customFormat="false" ht="15" hidden="false" customHeight="false" outlineLevel="0" collapsed="false">
      <c r="A280" s="4" t="s">
        <v>37</v>
      </c>
      <c r="B280" s="4" t="s">
        <v>345</v>
      </c>
      <c r="C280" s="4"/>
      <c r="D280" s="5" t="n">
        <v>19.791</v>
      </c>
      <c r="E280" s="5"/>
      <c r="F280" s="5" t="n">
        <v>0.00507744405661335</v>
      </c>
      <c r="G280" s="5" t="n">
        <v>1.2613</v>
      </c>
      <c r="H280" s="2" t="n">
        <f aca="false">D280*F280</f>
        <v>0.100487695324435</v>
      </c>
      <c r="I280" s="2" t="n">
        <f aca="false">IF(G280="","",D280*1000000/Inputs!$B$4^2*Inputs!$B$5/G280)</f>
        <v>0.0797368851037264</v>
      </c>
      <c r="J280" s="2" t="n">
        <f aca="false">IF(C280="A",Inputs!$B$7,IF(C280="B",Inputs!$B$8,IF(C280="C",Inputs!$B$9,0)))</f>
        <v>0</v>
      </c>
      <c r="K280" s="2" t="n">
        <f aca="false">IF(AND(E280&lt;&gt;"",G280&lt;&gt;"",J280&gt;0),IF(I280&gt;=Inputs!$B$6,1,0),0)</f>
        <v>0</v>
      </c>
      <c r="L280" s="5" t="n">
        <v>0</v>
      </c>
      <c r="M280" s="5" t="n">
        <v>19.791</v>
      </c>
      <c r="N280" s="5" t="n">
        <v>0.101</v>
      </c>
      <c r="O280" s="4" t="s">
        <v>64</v>
      </c>
      <c r="P280" s="2" t="n">
        <f aca="false">IF(K280=1,J280/G280^2,0)</f>
        <v>0</v>
      </c>
      <c r="Q280" s="2" t="n">
        <f aca="false">IF(K280=1,((E280-Result!$B$7*D280)/G280)^2,0)</f>
        <v>0</v>
      </c>
    </row>
    <row r="281" customFormat="false" ht="15" hidden="false" customHeight="false" outlineLevel="0" collapsed="false">
      <c r="A281" s="4" t="s">
        <v>37</v>
      </c>
      <c r="B281" s="4" t="s">
        <v>346</v>
      </c>
      <c r="C281" s="4" t="s">
        <v>63</v>
      </c>
      <c r="D281" s="5" t="n">
        <v>363.7863</v>
      </c>
      <c r="E281" s="5" t="n">
        <v>1.56</v>
      </c>
      <c r="F281" s="5" t="n">
        <v>0.00507750861068495</v>
      </c>
      <c r="G281" s="5" t="n">
        <v>1.2613</v>
      </c>
      <c r="H281" s="2" t="n">
        <f aca="false">D281*F281</f>
        <v>1.84712807069922</v>
      </c>
      <c r="I281" s="2" t="n">
        <f aca="false">IF(G281="","",D281*1000000/Inputs!$B$4^2*Inputs!$B$5/G281)</f>
        <v>1.46567563061037</v>
      </c>
      <c r="J281" s="2" t="n">
        <f aca="false">IF(C281="A",Inputs!$B$7,IF(C281="B",Inputs!$B$8,IF(C281="C",Inputs!$B$9,0)))</f>
        <v>1</v>
      </c>
      <c r="K281" s="2" t="n">
        <f aca="false">IF(AND(E281&lt;&gt;"",G281&lt;&gt;"",J281&gt;0),IF(I281&gt;=Inputs!$B$6,1,0),0)</f>
        <v>0</v>
      </c>
      <c r="L281" s="5" t="n">
        <v>1</v>
      </c>
      <c r="M281" s="5" t="n">
        <v>363.7852</v>
      </c>
      <c r="N281" s="5" t="n">
        <v>1.85</v>
      </c>
      <c r="O281" s="4" t="s">
        <v>64</v>
      </c>
      <c r="P281" s="2" t="n">
        <f aca="false">IF(K281=1,J281/G281^2,0)</f>
        <v>0</v>
      </c>
      <c r="Q281" s="2" t="n">
        <f aca="false">IF(K281=1,((E281-Result!$B$7*D281)/G281)^2,0)</f>
        <v>0</v>
      </c>
    </row>
    <row r="282" customFormat="false" ht="15" hidden="false" customHeight="false" outlineLevel="0" collapsed="false">
      <c r="A282" s="4" t="s">
        <v>37</v>
      </c>
      <c r="B282" s="4" t="s">
        <v>347</v>
      </c>
      <c r="C282" s="4"/>
      <c r="D282" s="5" t="n">
        <v>364.9462</v>
      </c>
      <c r="E282" s="5"/>
      <c r="F282" s="5" t="n">
        <v>0.00507737585310302</v>
      </c>
      <c r="G282" s="5" t="n">
        <v>1.2613</v>
      </c>
      <c r="H282" s="2" t="n">
        <f aca="false">D282*F282</f>
        <v>1.85296902356171</v>
      </c>
      <c r="I282" s="2" t="n">
        <f aca="false">IF(G282="","",D282*1000000/Inputs!$B$4^2*Inputs!$B$5/G282)</f>
        <v>1.47034880594419</v>
      </c>
      <c r="J282" s="2" t="n">
        <f aca="false">IF(C282="A",Inputs!$B$7,IF(C282="B",Inputs!$B$8,IF(C282="C",Inputs!$B$9,0)))</f>
        <v>0</v>
      </c>
      <c r="K282" s="2" t="n">
        <f aca="false">IF(AND(E282&lt;&gt;"",G282&lt;&gt;"",J282&gt;0),IF(I282&gt;=Inputs!$B$6,1,0),0)</f>
        <v>0</v>
      </c>
      <c r="L282" s="5" t="n">
        <v>0</v>
      </c>
      <c r="M282" s="5" t="n">
        <v>364.9462</v>
      </c>
      <c r="N282" s="5" t="n">
        <v>1.85</v>
      </c>
      <c r="O282" s="4" t="s">
        <v>64</v>
      </c>
      <c r="P282" s="2" t="n">
        <f aca="false">IF(K282=1,J282/G282^2,0)</f>
        <v>0</v>
      </c>
      <c r="Q282" s="2" t="n">
        <f aca="false">IF(K282=1,((E282-Result!$B$7*D282)/G282)^2,0)</f>
        <v>0</v>
      </c>
    </row>
    <row r="283" customFormat="false" ht="15" hidden="false" customHeight="false" outlineLevel="0" collapsed="false">
      <c r="A283" s="4" t="s">
        <v>37</v>
      </c>
      <c r="B283" s="4" t="s">
        <v>348</v>
      </c>
      <c r="C283" s="4" t="s">
        <v>63</v>
      </c>
      <c r="D283" s="5" t="n">
        <v>560.1075</v>
      </c>
      <c r="E283" s="5" t="n">
        <v>1.49</v>
      </c>
      <c r="F283" s="5" t="n">
        <v>0.00507736746090107</v>
      </c>
      <c r="G283" s="5" t="n">
        <v>1.2613</v>
      </c>
      <c r="H283" s="2" t="n">
        <f aca="false">D283*F283</f>
        <v>2.84387159510665</v>
      </c>
      <c r="I283" s="2" t="n">
        <f aca="false">IF(G283="","",D283*1000000/Inputs!$B$4^2*Inputs!$B$5/G283)</f>
        <v>2.25664329105328</v>
      </c>
      <c r="J283" s="2" t="n">
        <f aca="false">IF(C283="A",Inputs!$B$7,IF(C283="B",Inputs!$B$8,IF(C283="C",Inputs!$B$9,0)))</f>
        <v>1</v>
      </c>
      <c r="K283" s="2" t="n">
        <f aca="false">IF(AND(E283&lt;&gt;"",G283&lt;&gt;"",J283&gt;0),IF(I283&gt;=Inputs!$B$6,1,0),0)</f>
        <v>1</v>
      </c>
      <c r="L283" s="5" t="n">
        <v>0</v>
      </c>
      <c r="M283" s="5" t="n">
        <v>560.1065</v>
      </c>
      <c r="N283" s="5" t="n">
        <v>2.84</v>
      </c>
      <c r="O283" s="4" t="s">
        <v>64</v>
      </c>
      <c r="P283" s="2" t="n">
        <f aca="false">IF(K283=1,J283/G283^2,0)</f>
        <v>0.628583835379576</v>
      </c>
      <c r="Q283" s="2" t="n">
        <f aca="false">IF(K283=1,((E283-Result!$B$7*D283)/G283)^2,0)</f>
        <v>1.12968637540734</v>
      </c>
    </row>
    <row r="284" customFormat="false" ht="15" hidden="false" customHeight="false" outlineLevel="0" collapsed="false">
      <c r="A284" s="4" t="s">
        <v>37</v>
      </c>
      <c r="B284" s="4" t="s">
        <v>349</v>
      </c>
      <c r="C284" s="4"/>
      <c r="D284" s="5" t="n">
        <v>558.9455</v>
      </c>
      <c r="E284" s="5"/>
      <c r="F284" s="5" t="n">
        <v>0.00507745399934995</v>
      </c>
      <c r="G284" s="5" t="n">
        <v>1.2613</v>
      </c>
      <c r="H284" s="2" t="n">
        <f aca="false">D284*F284</f>
        <v>2.83802006439366</v>
      </c>
      <c r="I284" s="2" t="n">
        <f aca="false">IF(G284="","",D284*1000000/Inputs!$B$4^2*Inputs!$B$5/G284)</f>
        <v>2.25196165493128</v>
      </c>
      <c r="J284" s="2" t="n">
        <f aca="false">IF(C284="A",Inputs!$B$7,IF(C284="B",Inputs!$B$8,IF(C284="C",Inputs!$B$9,0)))</f>
        <v>0</v>
      </c>
      <c r="K284" s="2" t="n">
        <f aca="false">IF(AND(E284&lt;&gt;"",G284&lt;&gt;"",J284&gt;0),IF(I284&gt;=Inputs!$B$6,1,0),0)</f>
        <v>0</v>
      </c>
      <c r="L284" s="5" t="n">
        <v>0</v>
      </c>
      <c r="M284" s="5" t="n">
        <v>558.9455</v>
      </c>
      <c r="N284" s="5" t="n">
        <v>2.84</v>
      </c>
      <c r="O284" s="4" t="s">
        <v>64</v>
      </c>
      <c r="P284" s="2" t="n">
        <f aca="false">IF(K284=1,J284/G284^2,0)</f>
        <v>0</v>
      </c>
      <c r="Q284" s="2" t="n">
        <f aca="false">IF(K284=1,((E284-Result!$B$7*D284)/G284)^2,0)</f>
        <v>0</v>
      </c>
    </row>
    <row r="285" customFormat="false" ht="15" hidden="false" customHeight="false" outlineLevel="0" collapsed="false">
      <c r="A285" s="4" t="s">
        <v>37</v>
      </c>
      <c r="B285" s="4" t="s">
        <v>350</v>
      </c>
      <c r="C285" s="4" t="s">
        <v>63</v>
      </c>
      <c r="D285" s="5" t="n">
        <v>61.4621</v>
      </c>
      <c r="E285" s="5" t="n">
        <v>-0.61</v>
      </c>
      <c r="F285" s="5" t="n">
        <v>0.00507720402973798</v>
      </c>
      <c r="G285" s="5" t="n">
        <v>1.2613</v>
      </c>
      <c r="H285" s="2" t="n">
        <f aca="false">D285*F285</f>
        <v>0.312055621796159</v>
      </c>
      <c r="I285" s="2" t="n">
        <f aca="false">IF(G285="","",D285*1000000/Inputs!$B$4^2*Inputs!$B$5/G285)</f>
        <v>0.24762752796391</v>
      </c>
      <c r="J285" s="2" t="n">
        <f aca="false">IF(C285="A",Inputs!$B$7,IF(C285="B",Inputs!$B$8,IF(C285="C",Inputs!$B$9,0)))</f>
        <v>1</v>
      </c>
      <c r="K285" s="2" t="n">
        <f aca="false">IF(AND(E285&lt;&gt;"",G285&lt;&gt;"",J285&gt;0),IF(I285&gt;=Inputs!$B$6,1,0),0)</f>
        <v>0</v>
      </c>
      <c r="L285" s="5" t="n">
        <v>1</v>
      </c>
      <c r="M285" s="5" t="n">
        <v>61.4617</v>
      </c>
      <c r="N285" s="5" t="n">
        <v>0.312</v>
      </c>
      <c r="O285" s="4" t="s">
        <v>64</v>
      </c>
      <c r="P285" s="2" t="n">
        <f aca="false">IF(K285=1,J285/G285^2,0)</f>
        <v>0</v>
      </c>
      <c r="Q285" s="2" t="n">
        <f aca="false">IF(K285=1,((E285-Result!$B$7*D285)/G285)^2,0)</f>
        <v>0</v>
      </c>
    </row>
    <row r="286" customFormat="false" ht="15" hidden="false" customHeight="false" outlineLevel="0" collapsed="false">
      <c r="A286" s="4" t="s">
        <v>37</v>
      </c>
      <c r="B286" s="4" t="s">
        <v>351</v>
      </c>
      <c r="C286" s="4" t="s">
        <v>63</v>
      </c>
      <c r="D286" s="5" t="n">
        <v>466.3907</v>
      </c>
      <c r="E286" s="5" t="n">
        <v>0.43</v>
      </c>
      <c r="F286" s="5" t="n">
        <v>0.00507728225825678</v>
      </c>
      <c r="G286" s="5" t="n">
        <v>1.2613</v>
      </c>
      <c r="H286" s="2" t="n">
        <f aca="false">D286*F286</f>
        <v>2.36799722652596</v>
      </c>
      <c r="I286" s="2" t="n">
        <f aca="false">IF(G286="","",D286*1000000/Inputs!$B$4^2*Inputs!$B$5/G286)</f>
        <v>1.87906329439374</v>
      </c>
      <c r="J286" s="2" t="n">
        <f aca="false">IF(C286="A",Inputs!$B$7,IF(C286="B",Inputs!$B$8,IF(C286="C",Inputs!$B$9,0)))</f>
        <v>1</v>
      </c>
      <c r="K286" s="2" t="n">
        <f aca="false">IF(AND(E286&lt;&gt;"",G286&lt;&gt;"",J286&gt;0),IF(I286&gt;=Inputs!$B$6,1,0),0)</f>
        <v>0</v>
      </c>
      <c r="L286" s="5" t="n">
        <v>0</v>
      </c>
      <c r="M286" s="5" t="n">
        <v>466.3911</v>
      </c>
      <c r="N286" s="5" t="n">
        <v>2.37</v>
      </c>
      <c r="O286" s="4" t="s">
        <v>64</v>
      </c>
      <c r="P286" s="2" t="n">
        <f aca="false">IF(K286=1,J286/G286^2,0)</f>
        <v>0</v>
      </c>
      <c r="Q286" s="2" t="n">
        <f aca="false">IF(K286=1,((E286-Result!$B$7*D286)/G286)^2,0)</f>
        <v>0</v>
      </c>
    </row>
    <row r="287" customFormat="false" ht="15" hidden="false" customHeight="false" outlineLevel="0" collapsed="false">
      <c r="A287" s="4" t="s">
        <v>37</v>
      </c>
      <c r="B287" s="4" t="s">
        <v>352</v>
      </c>
      <c r="C287" s="4" t="s">
        <v>63</v>
      </c>
      <c r="D287" s="5" t="n">
        <v>965.0322</v>
      </c>
      <c r="E287" s="5" t="n">
        <v>2.53</v>
      </c>
      <c r="F287" s="5" t="n">
        <v>0.0050773369276713</v>
      </c>
      <c r="G287" s="5" t="n">
        <v>1.2613</v>
      </c>
      <c r="H287" s="2" t="n">
        <f aca="false">D287*F287</f>
        <v>4.89979362545188</v>
      </c>
      <c r="I287" s="2" t="n">
        <f aca="false">IF(G287="","",D287*1000000/Inputs!$B$4^2*Inputs!$B$5/G287)</f>
        <v>3.88806334459079</v>
      </c>
      <c r="J287" s="2" t="n">
        <f aca="false">IF(C287="A",Inputs!$B$7,IF(C287="B",Inputs!$B$8,IF(C287="C",Inputs!$B$9,0)))</f>
        <v>1</v>
      </c>
      <c r="K287" s="2" t="n">
        <f aca="false">IF(AND(E287&lt;&gt;"",G287&lt;&gt;"",J287&gt;0),IF(I287&gt;=Inputs!$B$6,1,0),0)</f>
        <v>1</v>
      </c>
      <c r="L287" s="5" t="n">
        <v>1</v>
      </c>
      <c r="M287" s="5" t="n">
        <v>965.036</v>
      </c>
      <c r="N287" s="5" t="n">
        <v>4.9</v>
      </c>
      <c r="O287" s="4" t="s">
        <v>64</v>
      </c>
      <c r="P287" s="2" t="n">
        <f aca="false">IF(K287=1,J287/G287^2,0)</f>
        <v>0.628583835379576</v>
      </c>
      <c r="Q287" s="2" t="n">
        <f aca="false">IF(K287=1,((E287-Result!$B$7*D287)/G287)^2,0)</f>
        <v>3.46234032756566</v>
      </c>
    </row>
    <row r="288" customFormat="false" ht="15" hidden="false" customHeight="false" outlineLevel="0" collapsed="false">
      <c r="A288" s="4" t="s">
        <v>37</v>
      </c>
      <c r="B288" s="4" t="s">
        <v>353</v>
      </c>
      <c r="C288" s="4" t="s">
        <v>63</v>
      </c>
      <c r="D288" s="5" t="n">
        <v>706.1857</v>
      </c>
      <c r="E288" s="5" t="n">
        <v>5.68</v>
      </c>
      <c r="F288" s="5" t="n">
        <v>0.0050772972692844</v>
      </c>
      <c r="G288" s="5" t="n">
        <v>1.2613</v>
      </c>
      <c r="H288" s="2" t="n">
        <f aca="false">D288*F288</f>
        <v>3.58551472621769</v>
      </c>
      <c r="I288" s="2" t="n">
        <f aca="false">IF(G288="","",D288*1000000/Inputs!$B$4^2*Inputs!$B$5/G288)</f>
        <v>2.84518458000074</v>
      </c>
      <c r="J288" s="2" t="n">
        <f aca="false">IF(C288="A",Inputs!$B$7,IF(C288="B",Inputs!$B$8,IF(C288="C",Inputs!$B$9,0)))</f>
        <v>1</v>
      </c>
      <c r="K288" s="2" t="n">
        <f aca="false">IF(AND(E288&lt;&gt;"",G288&lt;&gt;"",J288&gt;0),IF(I288&gt;=Inputs!$B$6,1,0),0)</f>
        <v>1</v>
      </c>
      <c r="L288" s="5" t="n">
        <v>0</v>
      </c>
      <c r="M288" s="5" t="n">
        <v>706.186</v>
      </c>
      <c r="N288" s="5" t="n">
        <v>3.59</v>
      </c>
      <c r="O288" s="4" t="s">
        <v>64</v>
      </c>
      <c r="P288" s="2" t="n">
        <f aca="false">IF(K288=1,J288/G288^2,0)</f>
        <v>0.628583835379576</v>
      </c>
      <c r="Q288" s="2" t="n">
        <f aca="false">IF(K288=1,((E288-Result!$B$7*D288)/G288)^2,0)</f>
        <v>2.80163812097861</v>
      </c>
    </row>
    <row r="289" customFormat="false" ht="15" hidden="false" customHeight="false" outlineLevel="0" collapsed="false">
      <c r="A289" s="4" t="s">
        <v>37</v>
      </c>
      <c r="B289" s="4" t="s">
        <v>354</v>
      </c>
      <c r="C289" s="4" t="s">
        <v>63</v>
      </c>
      <c r="D289" s="5" t="n">
        <v>1599.6593</v>
      </c>
      <c r="E289" s="5" t="n">
        <v>8.76</v>
      </c>
      <c r="F289" s="5" t="n">
        <v>0.00507735193368277</v>
      </c>
      <c r="G289" s="5" t="n">
        <v>1.2613</v>
      </c>
      <c r="H289" s="2" t="n">
        <f aca="false">D289*F289</f>
        <v>8.12203324008863</v>
      </c>
      <c r="I289" s="2" t="n">
        <f aca="false">IF(G289="","",D289*1000000/Inputs!$B$4^2*Inputs!$B$5/G289)</f>
        <v>6.44494213577926</v>
      </c>
      <c r="J289" s="2" t="n">
        <f aca="false">IF(C289="A",Inputs!$B$7,IF(C289="B",Inputs!$B$8,IF(C289="C",Inputs!$B$9,0)))</f>
        <v>1</v>
      </c>
      <c r="K289" s="2" t="n">
        <f aca="false">IF(AND(E289&lt;&gt;"",G289&lt;&gt;"",J289&gt;0),IF(I289&gt;=Inputs!$B$6,1,0),0)</f>
        <v>1</v>
      </c>
      <c r="L289" s="5" t="n">
        <v>0</v>
      </c>
      <c r="M289" s="5" t="n">
        <v>1599.6692</v>
      </c>
      <c r="N289" s="5" t="n">
        <v>8.12</v>
      </c>
      <c r="O289" s="4" t="s">
        <v>64</v>
      </c>
      <c r="P289" s="2" t="n">
        <f aca="false">IF(K289=1,J289/G289^2,0)</f>
        <v>0.628583835379576</v>
      </c>
      <c r="Q289" s="2" t="n">
        <f aca="false">IF(K289=1,((E289-Result!$B$7*D289)/G289)^2,0)</f>
        <v>0.287130404041844</v>
      </c>
    </row>
    <row r="290" customFormat="false" ht="15" hidden="false" customHeight="false" outlineLevel="0" collapsed="false">
      <c r="A290" s="4" t="s">
        <v>37</v>
      </c>
      <c r="B290" s="4" t="s">
        <v>355</v>
      </c>
      <c r="C290" s="4" t="s">
        <v>63</v>
      </c>
      <c r="D290" s="5" t="n">
        <v>1050.5752</v>
      </c>
      <c r="E290" s="5" t="n">
        <v>7.83</v>
      </c>
      <c r="F290" s="5" t="n">
        <v>0.00507743009151233</v>
      </c>
      <c r="G290" s="5" t="n">
        <v>1.2613</v>
      </c>
      <c r="H290" s="2" t="n">
        <f aca="false">D290*F290</f>
        <v>5.33422213387658</v>
      </c>
      <c r="I290" s="2" t="n">
        <f aca="false">IF(G290="","",D290*1000000/Inputs!$B$4^2*Inputs!$B$5/G290)</f>
        <v>4.23271153631572</v>
      </c>
      <c r="J290" s="2" t="n">
        <f aca="false">IF(C290="A",Inputs!$B$7,IF(C290="B",Inputs!$B$8,IF(C290="C",Inputs!$B$9,0)))</f>
        <v>1</v>
      </c>
      <c r="K290" s="2" t="n">
        <f aca="false">IF(AND(E290&lt;&gt;"",G290&lt;&gt;"",J290&gt;0),IF(I290&gt;=Inputs!$B$6,1,0),0)</f>
        <v>1</v>
      </c>
      <c r="L290" s="5" t="n">
        <v>0</v>
      </c>
      <c r="M290" s="5" t="n">
        <v>1050.5776</v>
      </c>
      <c r="N290" s="5" t="n">
        <v>5.33</v>
      </c>
      <c r="O290" s="4" t="s">
        <v>64</v>
      </c>
      <c r="P290" s="2" t="n">
        <f aca="false">IF(K290=1,J290/G290^2,0)</f>
        <v>0.628583835379576</v>
      </c>
      <c r="Q290" s="2" t="n">
        <f aca="false">IF(K290=1,((E290-Result!$B$7*D290)/G290)^2,0)</f>
        <v>3.99412760733786</v>
      </c>
    </row>
    <row r="291" customFormat="false" ht="15" hidden="false" customHeight="false" outlineLevel="0" collapsed="false">
      <c r="A291" s="4" t="s">
        <v>37</v>
      </c>
      <c r="B291" s="4" t="s">
        <v>356</v>
      </c>
      <c r="C291" s="4" t="s">
        <v>63</v>
      </c>
      <c r="D291" s="5" t="n">
        <v>954.9424</v>
      </c>
      <c r="E291" s="5" t="n">
        <v>2.47</v>
      </c>
      <c r="F291" s="5" t="n">
        <v>0.0050773824640927</v>
      </c>
      <c r="G291" s="5" t="n">
        <v>1.2613</v>
      </c>
      <c r="H291" s="2" t="n">
        <f aca="false">D291*F291</f>
        <v>4.84860779597859</v>
      </c>
      <c r="I291" s="2" t="n">
        <f aca="false">IF(G291="","",D291*1000000/Inputs!$B$4^2*Inputs!$B$5/G291)</f>
        <v>3.84741207768565</v>
      </c>
      <c r="J291" s="2" t="n">
        <f aca="false">IF(C291="A",Inputs!$B$7,IF(C291="B",Inputs!$B$8,IF(C291="C",Inputs!$B$9,0)))</f>
        <v>1</v>
      </c>
      <c r="K291" s="2" t="n">
        <f aca="false">IF(AND(E291&lt;&gt;"",G291&lt;&gt;"",J291&gt;0),IF(I291&gt;=Inputs!$B$6,1,0),0)</f>
        <v>1</v>
      </c>
      <c r="L291" s="5" t="n">
        <v>0</v>
      </c>
      <c r="M291" s="5" t="n">
        <v>954.9449</v>
      </c>
      <c r="N291" s="5" t="n">
        <v>4.85</v>
      </c>
      <c r="O291" s="4" t="s">
        <v>64</v>
      </c>
      <c r="P291" s="2" t="n">
        <f aca="false">IF(K291=1,J291/G291^2,0)</f>
        <v>0.628583835379576</v>
      </c>
      <c r="Q291" s="2" t="n">
        <f aca="false">IF(K291=1,((E291-Result!$B$7*D291)/G291)^2,0)</f>
        <v>3.48897410167838</v>
      </c>
    </row>
    <row r="292" customFormat="false" ht="15" hidden="false" customHeight="false" outlineLevel="0" collapsed="false">
      <c r="A292" s="4" t="s">
        <v>37</v>
      </c>
      <c r="B292" s="4" t="s">
        <v>357</v>
      </c>
      <c r="C292" s="4" t="s">
        <v>63</v>
      </c>
      <c r="D292" s="5" t="n">
        <v>810.7828</v>
      </c>
      <c r="E292" s="5" t="n">
        <v>2.58</v>
      </c>
      <c r="F292" s="5" t="n">
        <v>0.00507746060713095</v>
      </c>
      <c r="G292" s="5" t="n">
        <v>1.2613</v>
      </c>
      <c r="H292" s="2" t="n">
        <f aca="false">D292*F292</f>
        <v>4.11671772793933</v>
      </c>
      <c r="I292" s="2" t="n">
        <f aca="false">IF(G292="","",D292*1000000/Inputs!$B$4^2*Inputs!$B$5/G292)</f>
        <v>3.26660072597027</v>
      </c>
      <c r="J292" s="2" t="n">
        <f aca="false">IF(C292="A",Inputs!$B$7,IF(C292="B",Inputs!$B$8,IF(C292="C",Inputs!$B$9,0)))</f>
        <v>1</v>
      </c>
      <c r="K292" s="2" t="n">
        <f aca="false">IF(AND(E292&lt;&gt;"",G292&lt;&gt;"",J292&gt;0),IF(I292&gt;=Inputs!$B$6,1,0),0)</f>
        <v>1</v>
      </c>
      <c r="L292" s="5" t="n">
        <v>0</v>
      </c>
      <c r="M292" s="5" t="n">
        <v>810.7828</v>
      </c>
      <c r="N292" s="5" t="n">
        <v>4.12</v>
      </c>
      <c r="O292" s="4" t="s">
        <v>64</v>
      </c>
      <c r="P292" s="2" t="n">
        <f aca="false">IF(K292=1,J292/G292^2,0)</f>
        <v>0.628583835379576</v>
      </c>
      <c r="Q292" s="2" t="n">
        <f aca="false">IF(K292=1,((E292-Result!$B$7*D292)/G292)^2,0)</f>
        <v>1.447359043343</v>
      </c>
    </row>
    <row r="293" customFormat="false" ht="15" hidden="false" customHeight="false" outlineLevel="0" collapsed="false">
      <c r="A293" s="4" t="s">
        <v>37</v>
      </c>
      <c r="B293" s="4" t="s">
        <v>358</v>
      </c>
      <c r="C293" s="4" t="s">
        <v>63</v>
      </c>
      <c r="D293" s="5" t="n">
        <v>415.9438</v>
      </c>
      <c r="E293" s="5" t="n">
        <v>1.6</v>
      </c>
      <c r="F293" s="5" t="n">
        <v>0.00507751521620108</v>
      </c>
      <c r="G293" s="5" t="n">
        <v>1.2613</v>
      </c>
      <c r="H293" s="2" t="n">
        <f aca="false">D293*F293</f>
        <v>2.1119609735845</v>
      </c>
      <c r="I293" s="2" t="n">
        <f aca="false">IF(G293="","",D293*1000000/Inputs!$B$4^2*Inputs!$B$5/G293)</f>
        <v>1.67581542065623</v>
      </c>
      <c r="J293" s="2" t="n">
        <f aca="false">IF(C293="A",Inputs!$B$7,IF(C293="B",Inputs!$B$8,IF(C293="C",Inputs!$B$9,0)))</f>
        <v>1</v>
      </c>
      <c r="K293" s="2" t="n">
        <f aca="false">IF(AND(E293&lt;&gt;"",G293&lt;&gt;"",J293&gt;0),IF(I293&gt;=Inputs!$B$6,1,0),0)</f>
        <v>0</v>
      </c>
      <c r="L293" s="5" t="n">
        <v>0</v>
      </c>
      <c r="M293" s="5" t="n">
        <v>415.9444</v>
      </c>
      <c r="N293" s="5" t="n">
        <v>2.11</v>
      </c>
      <c r="O293" s="4" t="s">
        <v>64</v>
      </c>
      <c r="P293" s="2" t="n">
        <f aca="false">IF(K293=1,J293/G293^2,0)</f>
        <v>0</v>
      </c>
      <c r="Q293" s="2" t="n">
        <f aca="false">IF(K293=1,((E293-Result!$B$7*D293)/G293)^2,0)</f>
        <v>0</v>
      </c>
    </row>
    <row r="294" customFormat="false" ht="15" hidden="false" customHeight="false" outlineLevel="0" collapsed="false">
      <c r="A294" s="4" t="s">
        <v>37</v>
      </c>
      <c r="B294" s="4" t="s">
        <v>359</v>
      </c>
      <c r="C294" s="4" t="s">
        <v>63</v>
      </c>
      <c r="D294" s="5" t="n">
        <v>1056.246</v>
      </c>
      <c r="E294" s="5" t="n">
        <v>4.27</v>
      </c>
      <c r="F294" s="5" t="n">
        <v>0.00507733822935917</v>
      </c>
      <c r="G294" s="5" t="n">
        <v>1.2613</v>
      </c>
      <c r="H294" s="2" t="n">
        <f aca="false">D294*F294</f>
        <v>5.36291819540771</v>
      </c>
      <c r="I294" s="2" t="n">
        <f aca="false">IF(G294="","",D294*1000000/Inputs!$B$4^2*Inputs!$B$5/G294)</f>
        <v>4.25555888753831</v>
      </c>
      <c r="J294" s="2" t="n">
        <f aca="false">IF(C294="A",Inputs!$B$7,IF(C294="B",Inputs!$B$8,IF(C294="C",Inputs!$B$9,0)))</f>
        <v>1</v>
      </c>
      <c r="K294" s="2" t="n">
        <f aca="false">IF(AND(E294&lt;&gt;"",G294&lt;&gt;"",J294&gt;0),IF(I294&gt;=Inputs!$B$6,1,0),0)</f>
        <v>1</v>
      </c>
      <c r="L294" s="5" t="n">
        <v>0</v>
      </c>
      <c r="M294" s="5" t="n">
        <v>1056.2556</v>
      </c>
      <c r="N294" s="5" t="n">
        <v>5.36</v>
      </c>
      <c r="O294" s="4" t="s">
        <v>64</v>
      </c>
      <c r="P294" s="2" t="n">
        <f aca="false">IF(K294=1,J294/G294^2,0)</f>
        <v>0.628583835379576</v>
      </c>
      <c r="Q294" s="2" t="n">
        <f aca="false">IF(K294=1,((E294-Result!$B$7*D294)/G294)^2,0)</f>
        <v>0.716857916048452</v>
      </c>
    </row>
    <row r="295" customFormat="false" ht="15" hidden="false" customHeight="false" outlineLevel="0" collapsed="false">
      <c r="A295" s="4" t="s">
        <v>37</v>
      </c>
      <c r="B295" s="4" t="s">
        <v>360</v>
      </c>
      <c r="C295" s="4" t="s">
        <v>63</v>
      </c>
      <c r="D295" s="5" t="n">
        <v>1113.3178</v>
      </c>
      <c r="E295" s="5" t="n">
        <v>4.25</v>
      </c>
      <c r="F295" s="5" t="n">
        <v>0.00507748601151776</v>
      </c>
      <c r="G295" s="5" t="n">
        <v>1.2613</v>
      </c>
      <c r="H295" s="2" t="n">
        <f aca="false">D295*F295</f>
        <v>5.65285555587373</v>
      </c>
      <c r="I295" s="2" t="n">
        <f aca="false">IF(G295="","",D295*1000000/Inputs!$B$4^2*Inputs!$B$5/G295)</f>
        <v>4.48549813059135</v>
      </c>
      <c r="J295" s="2" t="n">
        <f aca="false">IF(C295="A",Inputs!$B$7,IF(C295="B",Inputs!$B$8,IF(C295="C",Inputs!$B$9,0)))</f>
        <v>1</v>
      </c>
      <c r="K295" s="2" t="n">
        <f aca="false">IF(AND(E295&lt;&gt;"",G295&lt;&gt;"",J295&gt;0),IF(I295&gt;=Inputs!$B$6,1,0),0)</f>
        <v>1</v>
      </c>
      <c r="L295" s="5" t="n">
        <v>0</v>
      </c>
      <c r="M295" s="5" t="n">
        <v>1113.3233</v>
      </c>
      <c r="N295" s="5" t="n">
        <v>5.65</v>
      </c>
      <c r="O295" s="4" t="s">
        <v>64</v>
      </c>
      <c r="P295" s="2" t="n">
        <f aca="false">IF(K295=1,J295/G295^2,0)</f>
        <v>0.628583835379576</v>
      </c>
      <c r="Q295" s="2" t="n">
        <f aca="false">IF(K295=1,((E295-Result!$B$7*D295)/G295)^2,0)</f>
        <v>1.19072047002998</v>
      </c>
    </row>
    <row r="296" customFormat="false" ht="15" hidden="false" customHeight="false" outlineLevel="0" collapsed="false">
      <c r="A296" s="4" t="s">
        <v>37</v>
      </c>
      <c r="B296" s="4" t="s">
        <v>361</v>
      </c>
      <c r="C296" s="4" t="s">
        <v>63</v>
      </c>
      <c r="D296" s="5" t="n">
        <v>2306.6368</v>
      </c>
      <c r="E296" s="5" t="n">
        <v>12.63</v>
      </c>
      <c r="F296" s="5" t="n">
        <v>0.00507747101798779</v>
      </c>
      <c r="G296" s="5" t="n">
        <v>1.2613</v>
      </c>
      <c r="H296" s="2" t="n">
        <f aca="false">D296*F296</f>
        <v>11.7118815010241</v>
      </c>
      <c r="I296" s="2" t="n">
        <f aca="false">IF(G296="","",D296*1000000/Inputs!$B$4^2*Inputs!$B$5/G296)</f>
        <v>9.29331683581563</v>
      </c>
      <c r="J296" s="2" t="n">
        <f aca="false">IF(C296="A",Inputs!$B$7,IF(C296="B",Inputs!$B$8,IF(C296="C",Inputs!$B$9,0)))</f>
        <v>1</v>
      </c>
      <c r="K296" s="2" t="n">
        <f aca="false">IF(AND(E296&lt;&gt;"",G296&lt;&gt;"",J296&gt;0),IF(I296&gt;=Inputs!$B$6,1,0),0)</f>
        <v>1</v>
      </c>
      <c r="L296" s="5" t="n">
        <v>1</v>
      </c>
      <c r="M296" s="5" t="n">
        <v>2306.6641</v>
      </c>
      <c r="N296" s="5" t="n">
        <v>11.71</v>
      </c>
      <c r="O296" s="4" t="s">
        <v>64</v>
      </c>
      <c r="P296" s="2" t="n">
        <f aca="false">IF(K296=1,J296/G296^2,0)</f>
        <v>0.628583835379576</v>
      </c>
      <c r="Q296" s="2" t="n">
        <f aca="false">IF(K296=1,((E296-Result!$B$7*D296)/G296)^2,0)</f>
        <v>0.595142975205755</v>
      </c>
    </row>
    <row r="297" customFormat="false" ht="15" hidden="false" customHeight="false" outlineLevel="0" collapsed="false">
      <c r="A297" s="4" t="s">
        <v>37</v>
      </c>
      <c r="B297" s="4" t="s">
        <v>362</v>
      </c>
      <c r="C297" s="4" t="s">
        <v>63</v>
      </c>
      <c r="D297" s="5" t="n">
        <v>763.2491</v>
      </c>
      <c r="E297" s="5" t="n">
        <v>5.66</v>
      </c>
      <c r="F297" s="5" t="n">
        <v>0.00507751651644606</v>
      </c>
      <c r="G297" s="5" t="n">
        <v>1.2613</v>
      </c>
      <c r="H297" s="2" t="n">
        <f aca="false">D297*F297</f>
        <v>3.87540991141259</v>
      </c>
      <c r="I297" s="2" t="n">
        <f aca="false">IF(G297="","",D297*1000000/Inputs!$B$4^2*Inputs!$B$5/G297)</f>
        <v>3.0750899799011</v>
      </c>
      <c r="J297" s="2" t="n">
        <f aca="false">IF(C297="A",Inputs!$B$7,IF(C297="B",Inputs!$B$8,IF(C297="C",Inputs!$B$9,0)))</f>
        <v>1</v>
      </c>
      <c r="K297" s="2" t="n">
        <f aca="false">IF(AND(E297&lt;&gt;"",G297&lt;&gt;"",J297&gt;0),IF(I297&gt;=Inputs!$B$6,1,0),0)</f>
        <v>1</v>
      </c>
      <c r="L297" s="5" t="n">
        <v>0</v>
      </c>
      <c r="M297" s="5" t="n">
        <v>763.2537</v>
      </c>
      <c r="N297" s="5" t="n">
        <v>3.88</v>
      </c>
      <c r="O297" s="4" t="s">
        <v>64</v>
      </c>
      <c r="P297" s="2" t="n">
        <f aca="false">IF(K297=1,J297/G297^2,0)</f>
        <v>0.628583835379576</v>
      </c>
      <c r="Q297" s="2" t="n">
        <f aca="false">IF(K297=1,((E297-Result!$B$7*D297)/G297)^2,0)</f>
        <v>2.04294523989198</v>
      </c>
    </row>
    <row r="298" customFormat="false" ht="15" hidden="false" customHeight="false" outlineLevel="0" collapsed="false">
      <c r="A298" s="4" t="s">
        <v>37</v>
      </c>
      <c r="B298" s="4" t="s">
        <v>363</v>
      </c>
      <c r="C298" s="4" t="s">
        <v>63</v>
      </c>
      <c r="D298" s="5" t="n">
        <v>1716.7799</v>
      </c>
      <c r="E298" s="5" t="n">
        <v>8.79</v>
      </c>
      <c r="F298" s="5" t="n">
        <v>0.00507750152579122</v>
      </c>
      <c r="G298" s="5" t="n">
        <v>1.2613</v>
      </c>
      <c r="H298" s="2" t="n">
        <f aca="false">D298*F298</f>
        <v>8.7169525616977</v>
      </c>
      <c r="I298" s="2" t="n">
        <f aca="false">IF(G298="","",D298*1000000/Inputs!$B$4^2*Inputs!$B$5/G298)</f>
        <v>6.91681479635627</v>
      </c>
      <c r="J298" s="2" t="n">
        <f aca="false">IF(C298="A",Inputs!$B$7,IF(C298="B",Inputs!$B$8,IF(C298="C",Inputs!$B$9,0)))</f>
        <v>1</v>
      </c>
      <c r="K298" s="2" t="n">
        <f aca="false">IF(AND(E298&lt;&gt;"",G298&lt;&gt;"",J298&gt;0),IF(I298&gt;=Inputs!$B$6,1,0),0)</f>
        <v>1</v>
      </c>
      <c r="L298" s="5" t="n">
        <v>0</v>
      </c>
      <c r="M298" s="5" t="n">
        <v>1716.7996</v>
      </c>
      <c r="N298" s="5" t="n">
        <v>8.72</v>
      </c>
      <c r="O298" s="4" t="s">
        <v>64</v>
      </c>
      <c r="P298" s="2" t="n">
        <f aca="false">IF(K298=1,J298/G298^2,0)</f>
        <v>0.628583835379576</v>
      </c>
      <c r="Q298" s="2" t="n">
        <f aca="false">IF(K298=1,((E298-Result!$B$7*D298)/G298)^2,0)</f>
        <v>0.00816534410724432</v>
      </c>
    </row>
    <row r="299" customFormat="false" ht="15" hidden="false" customHeight="false" outlineLevel="0" collapsed="false">
      <c r="A299" s="4" t="s">
        <v>37</v>
      </c>
      <c r="B299" s="4" t="s">
        <v>364</v>
      </c>
      <c r="C299" s="4" t="s">
        <v>63</v>
      </c>
      <c r="D299" s="5" t="n">
        <v>142.7648</v>
      </c>
      <c r="E299" s="5" t="n">
        <v>0.55</v>
      </c>
      <c r="F299" s="5" t="n">
        <v>0.00507764915639009</v>
      </c>
      <c r="G299" s="5" t="n">
        <v>1.2613</v>
      </c>
      <c r="H299" s="2" t="n">
        <f aca="false">D299*F299</f>
        <v>0.7249095662822</v>
      </c>
      <c r="I299" s="2" t="n">
        <f aca="false">IF(G299="","",D299*1000000/Inputs!$B$4^2*Inputs!$B$5/G299)</f>
        <v>0.575191776790282</v>
      </c>
      <c r="J299" s="2" t="n">
        <f aca="false">IF(C299="A",Inputs!$B$7,IF(C299="B",Inputs!$B$8,IF(C299="C",Inputs!$B$9,0)))</f>
        <v>1</v>
      </c>
      <c r="K299" s="2" t="n">
        <f aca="false">IF(AND(E299&lt;&gt;"",G299&lt;&gt;"",J299&gt;0),IF(I299&gt;=Inputs!$B$6,1,0),0)</f>
        <v>0</v>
      </c>
      <c r="L299" s="5" t="n">
        <v>0</v>
      </c>
      <c r="M299" s="5" t="n">
        <v>142.7631</v>
      </c>
      <c r="N299" s="5" t="n">
        <v>0.725</v>
      </c>
      <c r="O299" s="4" t="s">
        <v>64</v>
      </c>
      <c r="P299" s="2" t="n">
        <f aca="false">IF(K299=1,J299/G299^2,0)</f>
        <v>0</v>
      </c>
      <c r="Q299" s="2" t="n">
        <f aca="false">IF(K299=1,((E299-Result!$B$7*D299)/G299)^2,0)</f>
        <v>0</v>
      </c>
    </row>
    <row r="300" customFormat="false" ht="15" hidden="false" customHeight="false" outlineLevel="0" collapsed="false">
      <c r="A300" s="4" t="s">
        <v>37</v>
      </c>
      <c r="B300" s="4" t="s">
        <v>365</v>
      </c>
      <c r="C300" s="4" t="s">
        <v>63</v>
      </c>
      <c r="D300" s="5" t="n">
        <v>1220.3068</v>
      </c>
      <c r="E300" s="5" t="n">
        <v>5.75</v>
      </c>
      <c r="F300" s="5" t="n">
        <v>0.00507788486688195</v>
      </c>
      <c r="G300" s="5" t="n">
        <v>1.2613</v>
      </c>
      <c r="H300" s="2" t="n">
        <f aca="false">D300*F300</f>
        <v>6.19657743267314</v>
      </c>
      <c r="I300" s="2" t="n">
        <f aca="false">IF(G300="","",D300*1000000/Inputs!$B$4^2*Inputs!$B$5/G300)</f>
        <v>4.91655111428912</v>
      </c>
      <c r="J300" s="2" t="n">
        <f aca="false">IF(C300="A",Inputs!$B$7,IF(C300="B",Inputs!$B$8,IF(C300="C",Inputs!$B$9,0)))</f>
        <v>1</v>
      </c>
      <c r="K300" s="2" t="n">
        <f aca="false">IF(AND(E300&lt;&gt;"",G300&lt;&gt;"",J300&gt;0),IF(I300&gt;=Inputs!$B$6,1,0),0)</f>
        <v>1</v>
      </c>
      <c r="L300" s="5" t="n">
        <v>0</v>
      </c>
      <c r="M300" s="5" t="n">
        <v>1220.3124</v>
      </c>
      <c r="N300" s="5" t="n">
        <v>6.2</v>
      </c>
      <c r="O300" s="4" t="s">
        <v>64</v>
      </c>
      <c r="P300" s="2" t="n">
        <f aca="false">IF(K300=1,J300/G300^2,0)</f>
        <v>0.628583835379576</v>
      </c>
      <c r="Q300" s="2" t="n">
        <f aca="false">IF(K300=1,((E300-Result!$B$7*D300)/G300)^2,0)</f>
        <v>0.109313564708069</v>
      </c>
    </row>
    <row r="301" customFormat="false" ht="15" hidden="false" customHeight="false" outlineLevel="0" collapsed="false">
      <c r="A301" s="4" t="s">
        <v>37</v>
      </c>
      <c r="B301" s="4" t="s">
        <v>366</v>
      </c>
      <c r="C301" s="4" t="s">
        <v>63</v>
      </c>
      <c r="D301" s="5" t="n">
        <v>603.698</v>
      </c>
      <c r="E301" s="5" t="n">
        <v>5.18</v>
      </c>
      <c r="F301" s="5" t="n">
        <v>0.00507781997443543</v>
      </c>
      <c r="G301" s="5" t="n">
        <v>1.2613</v>
      </c>
      <c r="H301" s="2" t="n">
        <f aca="false">D301*F301</f>
        <v>3.06546976292672</v>
      </c>
      <c r="I301" s="2" t="n">
        <f aca="false">IF(G301="","",D301*1000000/Inputs!$B$4^2*Inputs!$B$5/G301)</f>
        <v>2.43226709430294</v>
      </c>
      <c r="J301" s="2" t="n">
        <f aca="false">IF(C301="A",Inputs!$B$7,IF(C301="B",Inputs!$B$8,IF(C301="C",Inputs!$B$9,0)))</f>
        <v>1</v>
      </c>
      <c r="K301" s="2" t="n">
        <f aca="false">IF(AND(E301&lt;&gt;"",G301&lt;&gt;"",J301&gt;0),IF(I301&gt;=Inputs!$B$6,1,0),0)</f>
        <v>1</v>
      </c>
      <c r="L301" s="5" t="n">
        <v>0</v>
      </c>
      <c r="M301" s="5" t="n">
        <v>603.701</v>
      </c>
      <c r="N301" s="5" t="n">
        <v>3.07</v>
      </c>
      <c r="O301" s="4" t="s">
        <v>64</v>
      </c>
      <c r="P301" s="2" t="n">
        <f aca="false">IF(K301=1,J301/G301^2,0)</f>
        <v>0.628583835379576</v>
      </c>
      <c r="Q301" s="2" t="n">
        <f aca="false">IF(K301=1,((E301-Result!$B$7*D301)/G301)^2,0)</f>
        <v>2.84945029735835</v>
      </c>
    </row>
    <row r="302" customFormat="false" ht="15" hidden="false" customHeight="false" outlineLevel="0" collapsed="false">
      <c r="A302" s="4" t="s">
        <v>37</v>
      </c>
      <c r="B302" s="4" t="s">
        <v>367</v>
      </c>
      <c r="C302" s="4" t="s">
        <v>63</v>
      </c>
      <c r="D302" s="5" t="n">
        <v>767.0167</v>
      </c>
      <c r="E302" s="5" t="n">
        <v>6.03</v>
      </c>
      <c r="F302" s="5" t="n">
        <v>0.00507804048021947</v>
      </c>
      <c r="G302" s="5" t="n">
        <v>1.2613</v>
      </c>
      <c r="H302" s="2" t="n">
        <f aca="false">D302*F302</f>
        <v>3.89494185160436</v>
      </c>
      <c r="I302" s="2" t="n">
        <f aca="false">IF(G302="","",D302*1000000/Inputs!$B$4^2*Inputs!$B$5/G302)</f>
        <v>3.09026943967154</v>
      </c>
      <c r="J302" s="2" t="n">
        <f aca="false">IF(C302="A",Inputs!$B$7,IF(C302="B",Inputs!$B$8,IF(C302="C",Inputs!$B$9,0)))</f>
        <v>1</v>
      </c>
      <c r="K302" s="2" t="n">
        <f aca="false">IF(AND(E302&lt;&gt;"",G302&lt;&gt;"",J302&gt;0),IF(I302&gt;=Inputs!$B$6,1,0),0)</f>
        <v>1</v>
      </c>
      <c r="L302" s="5" t="n">
        <v>0</v>
      </c>
      <c r="M302" s="5" t="n">
        <v>767.0174</v>
      </c>
      <c r="N302" s="5" t="n">
        <v>3.89</v>
      </c>
      <c r="O302" s="4" t="s">
        <v>64</v>
      </c>
      <c r="P302" s="2" t="n">
        <f aca="false">IF(K302=1,J302/G302^2,0)</f>
        <v>0.628583835379576</v>
      </c>
      <c r="Q302" s="2" t="n">
        <f aca="false">IF(K302=1,((E302-Result!$B$7*D302)/G302)^2,0)</f>
        <v>2.91579123764588</v>
      </c>
    </row>
    <row r="303" customFormat="false" ht="15" hidden="false" customHeight="false" outlineLevel="0" collapsed="false">
      <c r="A303" s="4" t="s">
        <v>37</v>
      </c>
      <c r="B303" s="4" t="s">
        <v>368</v>
      </c>
      <c r="C303" s="4" t="s">
        <v>63</v>
      </c>
      <c r="D303" s="5" t="n">
        <v>1383.6188</v>
      </c>
      <c r="E303" s="5" t="n">
        <v>6.6</v>
      </c>
      <c r="F303" s="5" t="n">
        <v>0.00507799970555412</v>
      </c>
      <c r="G303" s="5" t="n">
        <v>1.2613</v>
      </c>
      <c r="H303" s="2" t="n">
        <f aca="false">D303*F303</f>
        <v>7.02601585899915</v>
      </c>
      <c r="I303" s="2" t="n">
        <f aca="false">IF(G303="","",D303*1000000/Inputs!$B$4^2*Inputs!$B$5/G303)</f>
        <v>5.57452646571451</v>
      </c>
      <c r="J303" s="2" t="n">
        <f aca="false">IF(C303="A",Inputs!$B$7,IF(C303="B",Inputs!$B$8,IF(C303="C",Inputs!$B$9,0)))</f>
        <v>1</v>
      </c>
      <c r="K303" s="2" t="n">
        <f aca="false">IF(AND(E303&lt;&gt;"",G303&lt;&gt;"",J303&gt;0),IF(I303&gt;=Inputs!$B$6,1,0),0)</f>
        <v>1</v>
      </c>
      <c r="L303" s="5" t="n">
        <v>1</v>
      </c>
      <c r="M303" s="5" t="n">
        <v>1383.6287</v>
      </c>
      <c r="N303" s="5" t="n">
        <v>7.03</v>
      </c>
      <c r="O303" s="4" t="s">
        <v>64</v>
      </c>
      <c r="P303" s="2" t="n">
        <f aca="false">IF(K303=1,J303/G303^2,0)</f>
        <v>0.628583835379576</v>
      </c>
      <c r="Q303" s="2" t="n">
        <f aca="false">IF(K303=1,((E303-Result!$B$7*D303)/G303)^2,0)</f>
        <v>0.0967594753296364</v>
      </c>
    </row>
    <row r="304" customFormat="false" ht="15" hidden="false" customHeight="false" outlineLevel="0" collapsed="false">
      <c r="A304" s="4" t="s">
        <v>37</v>
      </c>
      <c r="B304" s="4" t="s">
        <v>369</v>
      </c>
      <c r="C304" s="4" t="s">
        <v>63</v>
      </c>
      <c r="D304" s="5" t="n">
        <v>1454.0676</v>
      </c>
      <c r="E304" s="5" t="n">
        <v>3.36</v>
      </c>
      <c r="F304" s="5" t="n">
        <v>0.00507835981822397</v>
      </c>
      <c r="G304" s="5" t="n">
        <v>1.2613</v>
      </c>
      <c r="H304" s="2" t="n">
        <f aca="false">D304*F304</f>
        <v>7.38427847282137</v>
      </c>
      <c r="I304" s="2" t="n">
        <f aca="false">IF(G304="","",D304*1000000/Inputs!$B$4^2*Inputs!$B$5/G304)</f>
        <v>5.85836092942505</v>
      </c>
      <c r="J304" s="2" t="n">
        <f aca="false">IF(C304="A",Inputs!$B$7,IF(C304="B",Inputs!$B$8,IF(C304="C",Inputs!$B$9,0)))</f>
        <v>1</v>
      </c>
      <c r="K304" s="2" t="n">
        <f aca="false">IF(AND(E304&lt;&gt;"",G304&lt;&gt;"",J304&gt;0),IF(I304&gt;=Inputs!$B$6,1,0),0)</f>
        <v>1</v>
      </c>
      <c r="L304" s="5" t="n">
        <v>0</v>
      </c>
      <c r="M304" s="5" t="n">
        <v>1454.0827</v>
      </c>
      <c r="N304" s="5" t="n">
        <v>7.39</v>
      </c>
      <c r="O304" s="4" t="s">
        <v>64</v>
      </c>
      <c r="P304" s="2" t="n">
        <f aca="false">IF(K304=1,J304/G304^2,0)</f>
        <v>0.628583835379576</v>
      </c>
      <c r="Q304" s="2" t="n">
        <f aca="false">IF(K304=1,((E304-Result!$B$7*D304)/G304)^2,0)</f>
        <v>9.99892672641044</v>
      </c>
    </row>
    <row r="305" customFormat="false" ht="15" hidden="false" customHeight="false" outlineLevel="0" collapsed="false">
      <c r="A305" s="4" t="s">
        <v>37</v>
      </c>
      <c r="B305" s="4" t="s">
        <v>370</v>
      </c>
      <c r="C305" s="4" t="s">
        <v>63</v>
      </c>
      <c r="D305" s="5" t="n">
        <v>1260.3905</v>
      </c>
      <c r="E305" s="5" t="n">
        <v>5.9</v>
      </c>
      <c r="F305" s="5" t="n">
        <v>0.00507864853564161</v>
      </c>
      <c r="G305" s="5" t="n">
        <v>1.2613</v>
      </c>
      <c r="H305" s="2" t="n">
        <f aca="false">D305*F305</f>
        <v>6.4010803671616</v>
      </c>
      <c r="I305" s="2" t="n">
        <f aca="false">IF(G305="","",D305*1000000/Inputs!$B$4^2*Inputs!$B$5/G305)</f>
        <v>5.0780462070804</v>
      </c>
      <c r="J305" s="2" t="n">
        <f aca="false">IF(C305="A",Inputs!$B$7,IF(C305="B",Inputs!$B$8,IF(C305="C",Inputs!$B$9,0)))</f>
        <v>1</v>
      </c>
      <c r="K305" s="2" t="n">
        <f aca="false">IF(AND(E305&lt;&gt;"",G305&lt;&gt;"",J305&gt;0),IF(I305&gt;=Inputs!$B$6,1,0),0)</f>
        <v>1</v>
      </c>
      <c r="L305" s="5" t="n">
        <v>1</v>
      </c>
      <c r="M305" s="5" t="n">
        <v>1260.4108</v>
      </c>
      <c r="N305" s="5" t="n">
        <v>6.4</v>
      </c>
      <c r="O305" s="4" t="s">
        <v>64</v>
      </c>
      <c r="P305" s="2" t="n">
        <f aca="false">IF(K305=1,J305/G305^2,0)</f>
        <v>0.628583835379576</v>
      </c>
      <c r="Q305" s="2" t="n">
        <f aca="false">IF(K305=1,((E305-Result!$B$7*D305)/G305)^2,0)</f>
        <v>0.138610888778417</v>
      </c>
    </row>
    <row r="306" customFormat="false" ht="15" hidden="false" customHeight="false" outlineLevel="0" collapsed="false">
      <c r="A306" s="4" t="s">
        <v>37</v>
      </c>
      <c r="B306" s="4" t="s">
        <v>371</v>
      </c>
      <c r="C306" s="4" t="s">
        <v>63</v>
      </c>
      <c r="D306" s="5" t="n">
        <v>1927.0878</v>
      </c>
      <c r="E306" s="5" t="n">
        <v>11.34</v>
      </c>
      <c r="F306" s="5" t="n">
        <v>0.00507871304984071</v>
      </c>
      <c r="G306" s="5" t="n">
        <v>1.2613</v>
      </c>
      <c r="H306" s="2" t="n">
        <f aca="false">D306*F306</f>
        <v>9.78712595804883</v>
      </c>
      <c r="I306" s="2" t="n">
        <f aca="false">IF(G306="","",D306*1000000/Inputs!$B$4^2*Inputs!$B$5/G306)</f>
        <v>7.76413412628937</v>
      </c>
      <c r="J306" s="2" t="n">
        <f aca="false">IF(C306="A",Inputs!$B$7,IF(C306="B",Inputs!$B$8,IF(C306="C",Inputs!$B$9,0)))</f>
        <v>1</v>
      </c>
      <c r="K306" s="2" t="n">
        <f aca="false">IF(AND(E306&lt;&gt;"",G306&lt;&gt;"",J306&gt;0),IF(I306&gt;=Inputs!$B$6,1,0),0)</f>
        <v>1</v>
      </c>
      <c r="L306" s="5" t="n">
        <v>0</v>
      </c>
      <c r="M306" s="5" t="n">
        <v>1927.1244</v>
      </c>
      <c r="N306" s="5" t="n">
        <v>9.79</v>
      </c>
      <c r="O306" s="4" t="s">
        <v>64</v>
      </c>
      <c r="P306" s="2" t="n">
        <f aca="false">IF(K306=1,J306/G306^2,0)</f>
        <v>0.628583835379576</v>
      </c>
      <c r="Q306" s="2" t="n">
        <f aca="false">IF(K306=1,((E306-Result!$B$7*D306)/G306)^2,0)</f>
        <v>1.61148628959276</v>
      </c>
    </row>
    <row r="307" customFormat="false" ht="15" hidden="false" customHeight="false" outlineLevel="0" collapsed="false">
      <c r="A307" s="4" t="s">
        <v>37</v>
      </c>
      <c r="B307" s="4" t="s">
        <v>372</v>
      </c>
      <c r="C307" s="4" t="s">
        <v>63</v>
      </c>
      <c r="D307" s="5" t="n">
        <v>2120.7516</v>
      </c>
      <c r="E307" s="5" t="n">
        <v>8.8</v>
      </c>
      <c r="F307" s="5" t="n">
        <v>0.00507850895098161</v>
      </c>
      <c r="G307" s="5" t="n">
        <v>1.2613</v>
      </c>
      <c r="H307" s="2" t="n">
        <f aca="false">D307*F307</f>
        <v>10.7702559834086</v>
      </c>
      <c r="I307" s="2" t="n">
        <f aca="false">IF(G307="","",D307*1000000/Inputs!$B$4^2*Inputs!$B$5/G307)</f>
        <v>8.54439526364226</v>
      </c>
      <c r="J307" s="2" t="n">
        <f aca="false">IF(C307="A",Inputs!$B$7,IF(C307="B",Inputs!$B$8,IF(C307="C",Inputs!$B$9,0)))</f>
        <v>1</v>
      </c>
      <c r="K307" s="2" t="n">
        <f aca="false">IF(AND(E307&lt;&gt;"",G307&lt;&gt;"",J307&gt;0),IF(I307&gt;=Inputs!$B$6,1,0),0)</f>
        <v>1</v>
      </c>
      <c r="L307" s="5" t="n">
        <v>1</v>
      </c>
      <c r="M307" s="5" t="n">
        <v>2120.7963</v>
      </c>
      <c r="N307" s="5" t="n">
        <v>10.77</v>
      </c>
      <c r="O307" s="4" t="s">
        <v>64</v>
      </c>
      <c r="P307" s="2" t="n">
        <f aca="false">IF(K307=1,J307/G307^2,0)</f>
        <v>0.628583835379576</v>
      </c>
      <c r="Q307" s="2" t="n">
        <f aca="false">IF(K307=1,((E307-Result!$B$7*D307)/G307)^2,0)</f>
        <v>2.31133195945953</v>
      </c>
    </row>
    <row r="308" customFormat="false" ht="15" hidden="false" customHeight="false" outlineLevel="0" collapsed="false">
      <c r="A308" s="4" t="s">
        <v>37</v>
      </c>
      <c r="B308" s="4" t="s">
        <v>373</v>
      </c>
      <c r="C308" s="4" t="s">
        <v>63</v>
      </c>
      <c r="D308" s="5" t="n">
        <v>2047.1557</v>
      </c>
      <c r="E308" s="5" t="n">
        <v>6.79</v>
      </c>
      <c r="F308" s="5" t="n">
        <v>0.00507828325268702</v>
      </c>
      <c r="G308" s="5" t="n">
        <v>1.2613</v>
      </c>
      <c r="H308" s="2" t="n">
        <f aca="false">D308*F308</f>
        <v>10.3960365069528</v>
      </c>
      <c r="I308" s="2" t="n">
        <f aca="false">IF(G308="","",D308*1000000/Inputs!$B$4^2*Inputs!$B$5/G308)</f>
        <v>8.24788130161885</v>
      </c>
      <c r="J308" s="2" t="n">
        <f aca="false">IF(C308="A",Inputs!$B$7,IF(C308="B",Inputs!$B$8,IF(C308="C",Inputs!$B$9,0)))</f>
        <v>1</v>
      </c>
      <c r="K308" s="2" t="n">
        <f aca="false">IF(AND(E308&lt;&gt;"",G308&lt;&gt;"",J308&gt;0),IF(I308&gt;=Inputs!$B$6,1,0),0)</f>
        <v>1</v>
      </c>
      <c r="L308" s="5" t="n">
        <v>1</v>
      </c>
      <c r="M308" s="5" t="n">
        <v>2047.1746</v>
      </c>
      <c r="N308" s="5" t="n">
        <v>10.4</v>
      </c>
      <c r="O308" s="4" t="s">
        <v>64</v>
      </c>
      <c r="P308" s="2" t="n">
        <f aca="false">IF(K308=1,J308/G308^2,0)</f>
        <v>0.628583835379576</v>
      </c>
      <c r="Q308" s="2" t="n">
        <f aca="false">IF(K308=1,((E308-Result!$B$7*D308)/G308)^2,0)</f>
        <v>7.94689107368053</v>
      </c>
    </row>
    <row r="309" customFormat="false" ht="15" hidden="false" customHeight="false" outlineLevel="0" collapsed="false">
      <c r="A309" s="4" t="s">
        <v>37</v>
      </c>
      <c r="B309" s="4" t="s">
        <v>374</v>
      </c>
      <c r="C309" s="4" t="s">
        <v>63</v>
      </c>
      <c r="D309" s="5" t="n">
        <v>1295.6064</v>
      </c>
      <c r="E309" s="5" t="n">
        <v>6.58</v>
      </c>
      <c r="F309" s="5" t="n">
        <v>0.00507819926243402</v>
      </c>
      <c r="G309" s="5" t="n">
        <v>1.2613</v>
      </c>
      <c r="H309" s="2" t="n">
        <f aca="false">D309*F309</f>
        <v>6.5793474648848</v>
      </c>
      <c r="I309" s="2" t="n">
        <f aca="false">IF(G309="","",D309*1000000/Inputs!$B$4^2*Inputs!$B$5/G309)</f>
        <v>5.21992919288831</v>
      </c>
      <c r="J309" s="2" t="n">
        <f aca="false">IF(C309="A",Inputs!$B$7,IF(C309="B",Inputs!$B$8,IF(C309="C",Inputs!$B$9,0)))</f>
        <v>1</v>
      </c>
      <c r="K309" s="2" t="n">
        <f aca="false">IF(AND(E309&lt;&gt;"",G309&lt;&gt;"",J309&gt;0),IF(I309&gt;=Inputs!$B$6,1,0),0)</f>
        <v>1</v>
      </c>
      <c r="L309" s="5" t="n">
        <v>0</v>
      </c>
      <c r="M309" s="5" t="n">
        <v>1295.6173</v>
      </c>
      <c r="N309" s="5" t="n">
        <v>6.58</v>
      </c>
      <c r="O309" s="4" t="s">
        <v>64</v>
      </c>
      <c r="P309" s="2" t="n">
        <f aca="false">IF(K309=1,J309/G309^2,0)</f>
        <v>0.628583835379576</v>
      </c>
      <c r="Q309" s="2" t="n">
        <f aca="false">IF(K309=1,((E309-Result!$B$7*D309)/G309)^2,0)</f>
        <v>0.000661600297806657</v>
      </c>
    </row>
    <row r="310" customFormat="false" ht="15" hidden="false" customHeight="false" outlineLevel="0" collapsed="false">
      <c r="A310" s="4" t="s">
        <v>37</v>
      </c>
      <c r="B310" s="4" t="s">
        <v>375</v>
      </c>
      <c r="C310" s="4" t="s">
        <v>63</v>
      </c>
      <c r="D310" s="5" t="n">
        <v>831.8334</v>
      </c>
      <c r="E310" s="5" t="n">
        <v>3.89</v>
      </c>
      <c r="F310" s="5" t="n">
        <v>0.00507840381963259</v>
      </c>
      <c r="G310" s="5" t="n">
        <v>1.2613</v>
      </c>
      <c r="H310" s="2" t="n">
        <f aca="false">D310*F310</f>
        <v>4.22438591585797</v>
      </c>
      <c r="I310" s="2" t="n">
        <f aca="false">IF(G310="","",D310*1000000/Inputs!$B$4^2*Inputs!$B$5/G310)</f>
        <v>3.35141247239867</v>
      </c>
      <c r="J310" s="2" t="n">
        <f aca="false">IF(C310="A",Inputs!$B$7,IF(C310="B",Inputs!$B$8,IF(C310="C",Inputs!$B$9,0)))</f>
        <v>1</v>
      </c>
      <c r="K310" s="2" t="n">
        <f aca="false">IF(AND(E310&lt;&gt;"",G310&lt;&gt;"",J310&gt;0),IF(I310&gt;=Inputs!$B$6,1,0),0)</f>
        <v>1</v>
      </c>
      <c r="L310" s="5" t="n">
        <v>1</v>
      </c>
      <c r="M310" s="5" t="n">
        <v>831.8366</v>
      </c>
      <c r="N310" s="5" t="n">
        <v>4.22</v>
      </c>
      <c r="O310" s="4" t="s">
        <v>64</v>
      </c>
      <c r="P310" s="2" t="n">
        <f aca="false">IF(K310=1,J310/G310^2,0)</f>
        <v>0.628583835379576</v>
      </c>
      <c r="Q310" s="2" t="n">
        <f aca="false">IF(K310=1,((E310-Result!$B$7*D310)/G310)^2,0)</f>
        <v>0.0618989708344917</v>
      </c>
    </row>
    <row r="311" customFormat="false" ht="15" hidden="false" customHeight="false" outlineLevel="0" collapsed="false">
      <c r="A311" s="4" t="s">
        <v>37</v>
      </c>
      <c r="B311" s="4" t="s">
        <v>376</v>
      </c>
      <c r="C311" s="4" t="s">
        <v>63</v>
      </c>
      <c r="D311" s="5" t="n">
        <v>1583.3775</v>
      </c>
      <c r="E311" s="5" t="n">
        <v>4.1</v>
      </c>
      <c r="F311" s="5" t="n">
        <v>0.00507841569419334</v>
      </c>
      <c r="G311" s="5" t="n">
        <v>1.2613</v>
      </c>
      <c r="H311" s="2" t="n">
        <f aca="false">D311*F311</f>
        <v>8.04104914583262</v>
      </c>
      <c r="I311" s="2" t="n">
        <f aca="false">IF(G311="","",D311*1000000/Inputs!$B$4^2*Inputs!$B$5/G311)</f>
        <v>6.37934363060611</v>
      </c>
      <c r="J311" s="2" t="n">
        <f aca="false">IF(C311="A",Inputs!$B$7,IF(C311="B",Inputs!$B$8,IF(C311="C",Inputs!$B$9,0)))</f>
        <v>1</v>
      </c>
      <c r="K311" s="2" t="n">
        <f aca="false">IF(AND(E311&lt;&gt;"",G311&lt;&gt;"",J311&gt;0),IF(I311&gt;=Inputs!$B$6,1,0),0)</f>
        <v>1</v>
      </c>
      <c r="L311" s="5" t="n">
        <v>0</v>
      </c>
      <c r="M311" s="5" t="n">
        <v>1583.394</v>
      </c>
      <c r="N311" s="5" t="n">
        <v>8.04</v>
      </c>
      <c r="O311" s="4" t="s">
        <v>64</v>
      </c>
      <c r="P311" s="2" t="n">
        <f aca="false">IF(K311=1,J311/G311^2,0)</f>
        <v>0.628583835379576</v>
      </c>
      <c r="Q311" s="2" t="n">
        <f aca="false">IF(K311=1,((E311-Result!$B$7*D311)/G311)^2,0)</f>
        <v>9.56985897283356</v>
      </c>
    </row>
    <row r="312" customFormat="false" ht="15" hidden="false" customHeight="false" outlineLevel="0" collapsed="false">
      <c r="A312" s="4" t="s">
        <v>37</v>
      </c>
      <c r="B312" s="4" t="s">
        <v>377</v>
      </c>
      <c r="C312" s="4" t="s">
        <v>63</v>
      </c>
      <c r="D312" s="5" t="n">
        <v>808.6047</v>
      </c>
      <c r="E312" s="5" t="n">
        <v>7.16</v>
      </c>
      <c r="F312" s="5" t="n">
        <v>0.00507899963729845</v>
      </c>
      <c r="G312" s="5" t="n">
        <v>1.2613</v>
      </c>
      <c r="H312" s="2" t="n">
        <f aca="false">D312*F312</f>
        <v>4.10690297801782</v>
      </c>
      <c r="I312" s="2" t="n">
        <f aca="false">IF(G312="","",D312*1000000/Inputs!$B$4^2*Inputs!$B$5/G312)</f>
        <v>3.2578252770569</v>
      </c>
      <c r="J312" s="2" t="n">
        <f aca="false">IF(C312="A",Inputs!$B$7,IF(C312="B",Inputs!$B$8,IF(C312="C",Inputs!$B$9,0)))</f>
        <v>1</v>
      </c>
      <c r="K312" s="2" t="n">
        <f aca="false">IF(AND(E312&lt;&gt;"",G312&lt;&gt;"",J312&gt;0),IF(I312&gt;=Inputs!$B$6,1,0),0)</f>
        <v>1</v>
      </c>
      <c r="L312" s="5" t="n">
        <v>1</v>
      </c>
      <c r="M312" s="5" t="n">
        <v>808.6078</v>
      </c>
      <c r="N312" s="5" t="n">
        <v>4.11</v>
      </c>
      <c r="O312" s="4" t="s">
        <v>64</v>
      </c>
      <c r="P312" s="2" t="n">
        <f aca="false">IF(K312=1,J312/G312^2,0)</f>
        <v>0.628583835379576</v>
      </c>
      <c r="Q312" s="2" t="n">
        <f aca="false">IF(K312=1,((E312-Result!$B$7*D312)/G312)^2,0)</f>
        <v>5.93818352381283</v>
      </c>
    </row>
    <row r="313" customFormat="false" ht="15" hidden="false" customHeight="false" outlineLevel="0" collapsed="false">
      <c r="A313" s="4" t="s">
        <v>37</v>
      </c>
      <c r="B313" s="4" t="s">
        <v>378</v>
      </c>
      <c r="C313" s="4" t="s">
        <v>63</v>
      </c>
      <c r="D313" s="5" t="n">
        <v>1053.32</v>
      </c>
      <c r="E313" s="5" t="n">
        <v>7.17</v>
      </c>
      <c r="F313" s="5" t="n">
        <v>0.00507862883643126</v>
      </c>
      <c r="G313" s="5" t="n">
        <v>1.2613</v>
      </c>
      <c r="H313" s="2" t="n">
        <f aca="false">D313*F313</f>
        <v>5.34942132598977</v>
      </c>
      <c r="I313" s="2" t="n">
        <f aca="false">IF(G313="","",D313*1000000/Inputs!$B$4^2*Inputs!$B$5/G313)</f>
        <v>4.24377018935158</v>
      </c>
      <c r="J313" s="2" t="n">
        <f aca="false">IF(C313="A",Inputs!$B$7,IF(C313="B",Inputs!$B$8,IF(C313="C",Inputs!$B$9,0)))</f>
        <v>1</v>
      </c>
      <c r="K313" s="2" t="n">
        <f aca="false">IF(AND(E313&lt;&gt;"",G313&lt;&gt;"",J313&gt;0),IF(I313&gt;=Inputs!$B$6,1,0),0)</f>
        <v>1</v>
      </c>
      <c r="L313" s="5" t="n">
        <v>1</v>
      </c>
      <c r="M313" s="5" t="n">
        <v>1053.3283</v>
      </c>
      <c r="N313" s="5" t="n">
        <v>5.35</v>
      </c>
      <c r="O313" s="4" t="s">
        <v>64</v>
      </c>
      <c r="P313" s="2" t="n">
        <f aca="false">IF(K313=1,J313/G313^2,0)</f>
        <v>0.628583835379576</v>
      </c>
      <c r="Q313" s="2" t="n">
        <f aca="false">IF(K313=1,((E313-Result!$B$7*D313)/G313)^2,0)</f>
        <v>2.14406936792296</v>
      </c>
    </row>
    <row r="314" customFormat="false" ht="15" hidden="false" customHeight="false" outlineLevel="0" collapsed="false">
      <c r="A314" s="4" t="s">
        <v>37</v>
      </c>
      <c r="B314" s="4" t="s">
        <v>379</v>
      </c>
      <c r="C314" s="4" t="s">
        <v>63</v>
      </c>
      <c r="D314" s="5" t="n">
        <v>1751.7284</v>
      </c>
      <c r="E314" s="5" t="n">
        <v>5.75</v>
      </c>
      <c r="F314" s="5" t="n">
        <v>0.00507885993891738</v>
      </c>
      <c r="G314" s="5" t="n">
        <v>1.2613</v>
      </c>
      <c r="H314" s="2" t="n">
        <f aca="false">D314*F314</f>
        <v>8.89678319462384</v>
      </c>
      <c r="I314" s="2" t="n">
        <f aca="false">IF(G314="","",D314*1000000/Inputs!$B$4^2*Inputs!$B$5/G314)</f>
        <v>7.05762044180357</v>
      </c>
      <c r="J314" s="2" t="n">
        <f aca="false">IF(C314="A",Inputs!$B$7,IF(C314="B",Inputs!$B$8,IF(C314="C",Inputs!$B$9,0)))</f>
        <v>1</v>
      </c>
      <c r="K314" s="2" t="n">
        <f aca="false">IF(AND(E314&lt;&gt;"",G314&lt;&gt;"",J314&gt;0),IF(I314&gt;=Inputs!$B$6,1,0),0)</f>
        <v>1</v>
      </c>
      <c r="L314" s="5" t="n">
        <v>1</v>
      </c>
      <c r="M314" s="5" t="n">
        <v>1751.75</v>
      </c>
      <c r="N314" s="5" t="n">
        <v>8.9</v>
      </c>
      <c r="O314" s="4" t="s">
        <v>64</v>
      </c>
      <c r="P314" s="2" t="n">
        <f aca="false">IF(K314=1,J314/G314^2,0)</f>
        <v>0.628583835379576</v>
      </c>
      <c r="Q314" s="2" t="n">
        <f aca="false">IF(K314=1,((E314-Result!$B$7*D314)/G314)^2,0)</f>
        <v>6.05099914393649</v>
      </c>
    </row>
    <row r="315" customFormat="false" ht="15" hidden="false" customHeight="false" outlineLevel="0" collapsed="false">
      <c r="A315" s="4" t="s">
        <v>37</v>
      </c>
      <c r="B315" s="4" t="s">
        <v>380</v>
      </c>
      <c r="C315" s="4" t="s">
        <v>63</v>
      </c>
      <c r="D315" s="5" t="n">
        <v>1154.4172</v>
      </c>
      <c r="E315" s="5" t="n">
        <v>4</v>
      </c>
      <c r="F315" s="5" t="n">
        <v>0.00507855358258672</v>
      </c>
      <c r="G315" s="5" t="n">
        <v>1.2613</v>
      </c>
      <c r="H315" s="2" t="n">
        <f aca="false">D315*F315</f>
        <v>5.86276960685973</v>
      </c>
      <c r="I315" s="2" t="n">
        <f aca="false">IF(G315="","",D315*1000000/Inputs!$B$4^2*Inputs!$B$5/G315)</f>
        <v>4.6510854245953</v>
      </c>
      <c r="J315" s="2" t="n">
        <f aca="false">IF(C315="A",Inputs!$B$7,IF(C315="B",Inputs!$B$8,IF(C315="C",Inputs!$B$9,0)))</f>
        <v>1</v>
      </c>
      <c r="K315" s="2" t="n">
        <f aca="false">IF(AND(E315&lt;&gt;"",G315&lt;&gt;"",J315&gt;0),IF(I315&gt;=Inputs!$B$6,1,0),0)</f>
        <v>1</v>
      </c>
      <c r="L315" s="5" t="n">
        <v>1</v>
      </c>
      <c r="M315" s="5" t="n">
        <v>1154.4283</v>
      </c>
      <c r="N315" s="5" t="n">
        <v>5.86</v>
      </c>
      <c r="O315" s="4" t="s">
        <v>64</v>
      </c>
      <c r="P315" s="2" t="n">
        <f aca="false">IF(K315=1,J315/G315^2,0)</f>
        <v>0.628583835379576</v>
      </c>
      <c r="Q315" s="2" t="n">
        <f aca="false">IF(K315=1,((E315-Result!$B$7*D315)/G315)^2,0)</f>
        <v>2.11435717708708</v>
      </c>
    </row>
    <row r="316" customFormat="false" ht="15" hidden="false" customHeight="false" outlineLevel="0" collapsed="false">
      <c r="A316" s="4" t="s">
        <v>37</v>
      </c>
      <c r="B316" s="4" t="s">
        <v>381</v>
      </c>
      <c r="C316" s="4" t="s">
        <v>63</v>
      </c>
      <c r="D316" s="5" t="n">
        <v>1274.7979</v>
      </c>
      <c r="E316" s="5" t="n">
        <v>6.33</v>
      </c>
      <c r="F316" s="5" t="n">
        <v>0.00507870479499312</v>
      </c>
      <c r="G316" s="5" t="n">
        <v>1.2613</v>
      </c>
      <c r="H316" s="2" t="n">
        <f aca="false">D316*F316</f>
        <v>6.47432220737716</v>
      </c>
      <c r="I316" s="2" t="n">
        <f aca="false">IF(G316="","",D316*1000000/Inputs!$B$4^2*Inputs!$B$5/G316)</f>
        <v>5.13609285446777</v>
      </c>
      <c r="J316" s="2" t="n">
        <f aca="false">IF(C316="A",Inputs!$B$7,IF(C316="B",Inputs!$B$8,IF(C316="C",Inputs!$B$9,0)))</f>
        <v>1</v>
      </c>
      <c r="K316" s="2" t="n">
        <f aca="false">IF(AND(E316&lt;&gt;"",G316&lt;&gt;"",J316&gt;0),IF(I316&gt;=Inputs!$B$6,1,0),0)</f>
        <v>1</v>
      </c>
      <c r="L316" s="5" t="n">
        <v>1</v>
      </c>
      <c r="M316" s="5" t="n">
        <v>1274.8088</v>
      </c>
      <c r="N316" s="5" t="n">
        <v>6.47</v>
      </c>
      <c r="O316" s="4" t="s">
        <v>64</v>
      </c>
      <c r="P316" s="2" t="n">
        <f aca="false">IF(K316=1,J316/G316^2,0)</f>
        <v>0.628583835379576</v>
      </c>
      <c r="Q316" s="2" t="n">
        <f aca="false">IF(K316=1,((E316-Result!$B$7*D316)/G316)^2,0)</f>
        <v>0.00794112604525938</v>
      </c>
    </row>
    <row r="317" customFormat="false" ht="15" hidden="false" customHeight="false" outlineLevel="0" collapsed="false">
      <c r="A317" s="4" t="s">
        <v>37</v>
      </c>
      <c r="B317" s="4" t="s">
        <v>382</v>
      </c>
      <c r="C317" s="4" t="s">
        <v>63</v>
      </c>
      <c r="D317" s="5" t="n">
        <v>413.8713</v>
      </c>
      <c r="E317" s="5" t="n">
        <v>4.09</v>
      </c>
      <c r="F317" s="5" t="n">
        <v>0.0050786329767859</v>
      </c>
      <c r="G317" s="5" t="n">
        <v>1.2613</v>
      </c>
      <c r="H317" s="2" t="n">
        <f aca="false">D317*F317</f>
        <v>2.10190043232525</v>
      </c>
      <c r="I317" s="2" t="n">
        <f aca="false">IF(G317="","",D317*1000000/Inputs!$B$4^2*Inputs!$B$5/G317)</f>
        <v>1.66746542851952</v>
      </c>
      <c r="J317" s="2" t="n">
        <f aca="false">IF(C317="A",Inputs!$B$7,IF(C317="B",Inputs!$B$8,IF(C317="C",Inputs!$B$9,0)))</f>
        <v>1</v>
      </c>
      <c r="K317" s="2" t="n">
        <f aca="false">IF(AND(E317&lt;&gt;"",G317&lt;&gt;"",J317&gt;0),IF(I317&gt;=Inputs!$B$6,1,0),0)</f>
        <v>0</v>
      </c>
      <c r="L317" s="5" t="n">
        <v>1</v>
      </c>
      <c r="M317" s="5" t="n">
        <v>413.8719</v>
      </c>
      <c r="N317" s="5" t="n">
        <v>2.1</v>
      </c>
      <c r="O317" s="4" t="s">
        <v>64</v>
      </c>
      <c r="P317" s="2" t="n">
        <f aca="false">IF(K317=1,J317/G317^2,0)</f>
        <v>0</v>
      </c>
      <c r="Q317" s="2" t="n">
        <f aca="false">IF(K317=1,((E317-Result!$B$7*D317)/G317)^2,0)</f>
        <v>0</v>
      </c>
    </row>
    <row r="318" customFormat="false" ht="15" hidden="false" customHeight="false" outlineLevel="0" collapsed="false">
      <c r="A318" s="4" t="s">
        <v>37</v>
      </c>
      <c r="B318" s="4" t="s">
        <v>383</v>
      </c>
      <c r="C318" s="4" t="s">
        <v>63</v>
      </c>
      <c r="D318" s="5" t="n">
        <v>1309.9666</v>
      </c>
      <c r="E318" s="5" t="n">
        <v>5.16</v>
      </c>
      <c r="F318" s="5" t="n">
        <v>0.00507877015604637</v>
      </c>
      <c r="G318" s="5" t="n">
        <v>1.2613</v>
      </c>
      <c r="H318" s="2" t="n">
        <f aca="false">D318*F318</f>
        <v>6.65301927349754</v>
      </c>
      <c r="I318" s="2" t="n">
        <f aca="false">IF(G318="","",D318*1000000/Inputs!$B$4^2*Inputs!$B$5/G318)</f>
        <v>5.27778567398914</v>
      </c>
      <c r="J318" s="2" t="n">
        <f aca="false">IF(C318="A",Inputs!$B$7,IF(C318="B",Inputs!$B$8,IF(C318="C",Inputs!$B$9,0)))</f>
        <v>1</v>
      </c>
      <c r="K318" s="2" t="n">
        <f aca="false">IF(AND(E318&lt;&gt;"",G318&lt;&gt;"",J318&gt;0),IF(I318&gt;=Inputs!$B$6,1,0),0)</f>
        <v>1</v>
      </c>
      <c r="L318" s="5" t="n">
        <v>1</v>
      </c>
      <c r="M318" s="5" t="n">
        <v>1309.981</v>
      </c>
      <c r="N318" s="5" t="n">
        <v>6.65</v>
      </c>
      <c r="O318" s="4" t="s">
        <v>64</v>
      </c>
      <c r="P318" s="2" t="n">
        <f aca="false">IF(K318=1,J318/G318^2,0)</f>
        <v>0.628583835379576</v>
      </c>
      <c r="Q318" s="2" t="n">
        <f aca="false">IF(K318=1,((E318-Result!$B$7*D318)/G318)^2,0)</f>
        <v>1.3401260133173</v>
      </c>
    </row>
    <row r="319" customFormat="false" ht="15" hidden="false" customHeight="false" outlineLevel="0" collapsed="false">
      <c r="A319" s="4" t="s">
        <v>37</v>
      </c>
      <c r="B319" s="4" t="s">
        <v>384</v>
      </c>
      <c r="C319" s="4" t="s">
        <v>63</v>
      </c>
      <c r="D319" s="5" t="n">
        <v>256.8251</v>
      </c>
      <c r="E319" s="5" t="n">
        <v>-1.12</v>
      </c>
      <c r="F319" s="5" t="n">
        <v>0.00507843715005067</v>
      </c>
      <c r="G319" s="5" t="n">
        <v>1.2613</v>
      </c>
      <c r="H319" s="2" t="n">
        <f aca="false">D319*F319</f>
        <v>1.30427012890548</v>
      </c>
      <c r="I319" s="2" t="n">
        <f aca="false">IF(G319="","",D319*1000000/Inputs!$B$4^2*Inputs!$B$5/G319)</f>
        <v>1.03473465163221</v>
      </c>
      <c r="J319" s="2" t="n">
        <f aca="false">IF(C319="A",Inputs!$B$7,IF(C319="B",Inputs!$B$8,IF(C319="C",Inputs!$B$9,0)))</f>
        <v>1</v>
      </c>
      <c r="K319" s="2" t="n">
        <f aca="false">IF(AND(E319&lt;&gt;"",G319&lt;&gt;"",J319&gt;0),IF(I319&gt;=Inputs!$B$6,1,0),0)</f>
        <v>0</v>
      </c>
      <c r="L319" s="5" t="n">
        <v>1</v>
      </c>
      <c r="M319" s="5" t="n">
        <v>256.8246</v>
      </c>
      <c r="N319" s="5" t="n">
        <v>1.3</v>
      </c>
      <c r="O319" s="4" t="s">
        <v>64</v>
      </c>
      <c r="P319" s="2" t="n">
        <f aca="false">IF(K319=1,J319/G319^2,0)</f>
        <v>0</v>
      </c>
      <c r="Q319" s="2" t="n">
        <f aca="false">IF(K319=1,((E319-Result!$B$7*D319)/G319)^2,0)</f>
        <v>0</v>
      </c>
    </row>
    <row r="320" customFormat="false" ht="15" hidden="false" customHeight="false" outlineLevel="0" collapsed="false">
      <c r="A320" s="4" t="s">
        <v>37</v>
      </c>
      <c r="B320" s="4" t="s">
        <v>385</v>
      </c>
      <c r="C320" s="4" t="s">
        <v>63</v>
      </c>
      <c r="D320" s="5" t="n">
        <v>1147.3604</v>
      </c>
      <c r="E320" s="5" t="n">
        <v>5.96</v>
      </c>
      <c r="F320" s="5" t="n">
        <v>0.00507857452812136</v>
      </c>
      <c r="G320" s="5" t="n">
        <v>1.2613</v>
      </c>
      <c r="H320" s="2" t="n">
        <f aca="false">D320*F320</f>
        <v>5.82695530201513</v>
      </c>
      <c r="I320" s="2" t="n">
        <f aca="false">IF(G320="","",D320*1000000/Inputs!$B$4^2*Inputs!$B$5/G320)</f>
        <v>4.622653953179</v>
      </c>
      <c r="J320" s="2" t="n">
        <f aca="false">IF(C320="A",Inputs!$B$7,IF(C320="B",Inputs!$B$8,IF(C320="C",Inputs!$B$9,0)))</f>
        <v>1</v>
      </c>
      <c r="K320" s="2" t="n">
        <f aca="false">IF(AND(E320&lt;&gt;"",G320&lt;&gt;"",J320&gt;0),IF(I320&gt;=Inputs!$B$6,1,0),0)</f>
        <v>1</v>
      </c>
      <c r="L320" s="5" t="n">
        <v>1</v>
      </c>
      <c r="M320" s="5" t="n">
        <v>1147.3735</v>
      </c>
      <c r="N320" s="5" t="n">
        <v>5.83</v>
      </c>
      <c r="O320" s="4" t="s">
        <v>64</v>
      </c>
      <c r="P320" s="2" t="n">
        <f aca="false">IF(K320=1,J320/G320^2,0)</f>
        <v>0.628583835379576</v>
      </c>
      <c r="Q320" s="2" t="n">
        <f aca="false">IF(K320=1,((E320-Result!$B$7*D320)/G320)^2,0)</f>
        <v>0.0164208550324871</v>
      </c>
    </row>
    <row r="321" customFormat="false" ht="15" hidden="false" customHeight="false" outlineLevel="0" collapsed="false">
      <c r="A321" s="4" t="s">
        <v>37</v>
      </c>
      <c r="B321" s="4" t="s">
        <v>386</v>
      </c>
      <c r="C321" s="4" t="s">
        <v>63</v>
      </c>
      <c r="D321" s="5" t="n">
        <v>304.836</v>
      </c>
      <c r="E321" s="5" t="n">
        <v>2.13</v>
      </c>
      <c r="F321" s="5" t="n">
        <v>0.00507824963117984</v>
      </c>
      <c r="G321" s="5" t="n">
        <v>1.2613</v>
      </c>
      <c r="H321" s="2" t="n">
        <f aca="false">D321*F321</f>
        <v>1.54803330457034</v>
      </c>
      <c r="I321" s="2" t="n">
        <f aca="false">IF(G321="","",D321*1000000/Inputs!$B$4^2*Inputs!$B$5/G321)</f>
        <v>1.22816801108987</v>
      </c>
      <c r="J321" s="2" t="n">
        <f aca="false">IF(C321="A",Inputs!$B$7,IF(C321="B",Inputs!$B$8,IF(C321="C",Inputs!$B$9,0)))</f>
        <v>1</v>
      </c>
      <c r="K321" s="2" t="n">
        <f aca="false">IF(AND(E321&lt;&gt;"",G321&lt;&gt;"",J321&gt;0),IF(I321&gt;=Inputs!$B$6,1,0),0)</f>
        <v>0</v>
      </c>
      <c r="L321" s="5" t="n">
        <v>0</v>
      </c>
      <c r="M321" s="5" t="n">
        <v>304.8355</v>
      </c>
      <c r="N321" s="5" t="n">
        <v>1.55</v>
      </c>
      <c r="O321" s="4" t="s">
        <v>64</v>
      </c>
      <c r="P321" s="2" t="n">
        <f aca="false">IF(K321=1,J321/G321^2,0)</f>
        <v>0</v>
      </c>
      <c r="Q321" s="2" t="n">
        <f aca="false">IF(K321=1,((E321-Result!$B$7*D321)/G321)^2,0)</f>
        <v>0</v>
      </c>
    </row>
    <row r="322" customFormat="false" ht="15" hidden="false" customHeight="false" outlineLevel="0" collapsed="false">
      <c r="A322" s="4" t="s">
        <v>37</v>
      </c>
      <c r="B322" s="4" t="s">
        <v>387</v>
      </c>
      <c r="C322" s="4" t="s">
        <v>63</v>
      </c>
      <c r="D322" s="5" t="n">
        <v>206.8857</v>
      </c>
      <c r="E322" s="5" t="n">
        <v>2.34</v>
      </c>
      <c r="F322" s="5" t="n">
        <v>0.00507818106923457</v>
      </c>
      <c r="G322" s="5" t="n">
        <v>1.2613</v>
      </c>
      <c r="H322" s="2" t="n">
        <f aca="false">D322*F322</f>
        <v>1.05060304523534</v>
      </c>
      <c r="I322" s="2" t="n">
        <f aca="false">IF(G322="","",D322*1000000/Inputs!$B$4^2*Inputs!$B$5/G322)</f>
        <v>0.833531468369663</v>
      </c>
      <c r="J322" s="2" t="n">
        <f aca="false">IF(C322="A",Inputs!$B$7,IF(C322="B",Inputs!$B$8,IF(C322="C",Inputs!$B$9,0)))</f>
        <v>1</v>
      </c>
      <c r="K322" s="2" t="n">
        <f aca="false">IF(AND(E322&lt;&gt;"",G322&lt;&gt;"",J322&gt;0),IF(I322&gt;=Inputs!$B$6,1,0),0)</f>
        <v>0</v>
      </c>
      <c r="L322" s="5" t="n">
        <v>1</v>
      </c>
      <c r="M322" s="5" t="n">
        <v>206.8855</v>
      </c>
      <c r="N322" s="5" t="n">
        <v>1.05</v>
      </c>
      <c r="O322" s="4" t="s">
        <v>64</v>
      </c>
      <c r="P322" s="2" t="n">
        <f aca="false">IF(K322=1,J322/G322^2,0)</f>
        <v>0</v>
      </c>
      <c r="Q322" s="2" t="n">
        <f aca="false">IF(K322=1,((E322-Result!$B$7*D322)/G322)^2,0)</f>
        <v>0</v>
      </c>
    </row>
    <row r="323" customFormat="false" ht="15" hidden="false" customHeight="false" outlineLevel="0" collapsed="false">
      <c r="A323" s="4" t="s">
        <v>37</v>
      </c>
      <c r="B323" s="4" t="s">
        <v>388</v>
      </c>
      <c r="C323" s="4" t="s">
        <v>63</v>
      </c>
      <c r="D323" s="5" t="n">
        <v>209.1077</v>
      </c>
      <c r="E323" s="5" t="n">
        <v>1.52</v>
      </c>
      <c r="F323" s="5" t="n">
        <v>0.00507813363684202</v>
      </c>
      <c r="G323" s="5" t="n">
        <v>1.2613</v>
      </c>
      <c r="H323" s="2" t="n">
        <f aca="false">D323*F323</f>
        <v>1.06187684509267</v>
      </c>
      <c r="I323" s="2" t="n">
        <f aca="false">IF(G323="","",D323*1000000/Inputs!$B$4^2*Inputs!$B$5/G323)</f>
        <v>0.842483788045298</v>
      </c>
      <c r="J323" s="2" t="n">
        <f aca="false">IF(C323="A",Inputs!$B$7,IF(C323="B",Inputs!$B$8,IF(C323="C",Inputs!$B$9,0)))</f>
        <v>1</v>
      </c>
      <c r="K323" s="2" t="n">
        <f aca="false">IF(AND(E323&lt;&gt;"",G323&lt;&gt;"",J323&gt;0),IF(I323&gt;=Inputs!$B$6,1,0),0)</f>
        <v>0</v>
      </c>
      <c r="L323" s="5" t="n">
        <v>0</v>
      </c>
      <c r="M323" s="5" t="n">
        <v>209.107</v>
      </c>
      <c r="N323" s="5" t="n">
        <v>1.06</v>
      </c>
      <c r="O323" s="4" t="s">
        <v>64</v>
      </c>
      <c r="P323" s="2" t="n">
        <f aca="false">IF(K323=1,J323/G323^2,0)</f>
        <v>0</v>
      </c>
      <c r="Q323" s="2" t="n">
        <f aca="false">IF(K323=1,((E323-Result!$B$7*D323)/G323)^2,0)</f>
        <v>0</v>
      </c>
    </row>
    <row r="324" customFormat="false" ht="15" hidden="false" customHeight="false" outlineLevel="0" collapsed="false">
      <c r="A324" s="4" t="s">
        <v>37</v>
      </c>
      <c r="B324" s="4" t="s">
        <v>389</v>
      </c>
      <c r="C324" s="4" t="s">
        <v>63</v>
      </c>
      <c r="D324" s="5" t="n">
        <v>307.0578</v>
      </c>
      <c r="E324" s="5" t="n">
        <v>1.31</v>
      </c>
      <c r="F324" s="5" t="n">
        <v>0.00507821681703363</v>
      </c>
      <c r="G324" s="5" t="n">
        <v>1.2613</v>
      </c>
      <c r="H324" s="2" t="n">
        <f aca="false">D324*F324</f>
        <v>1.55930608376135</v>
      </c>
      <c r="I324" s="2" t="n">
        <f aca="false">IF(G324="","",D324*1000000/Inputs!$B$4^2*Inputs!$B$5/G324)</f>
        <v>1.23711952497615</v>
      </c>
      <c r="J324" s="2" t="n">
        <f aca="false">IF(C324="A",Inputs!$B$7,IF(C324="B",Inputs!$B$8,IF(C324="C",Inputs!$B$9,0)))</f>
        <v>1</v>
      </c>
      <c r="K324" s="2" t="n">
        <f aca="false">IF(AND(E324&lt;&gt;"",G324&lt;&gt;"",J324&gt;0),IF(I324&gt;=Inputs!$B$6,1,0),0)</f>
        <v>0</v>
      </c>
      <c r="L324" s="5" t="n">
        <v>1</v>
      </c>
      <c r="M324" s="5" t="n">
        <v>307.0569</v>
      </c>
      <c r="N324" s="5" t="n">
        <v>1.56</v>
      </c>
      <c r="O324" s="4" t="s">
        <v>64</v>
      </c>
      <c r="P324" s="2" t="n">
        <f aca="false">IF(K324=1,J324/G324^2,0)</f>
        <v>0</v>
      </c>
      <c r="Q324" s="2" t="n">
        <f aca="false">IF(K324=1,((E324-Result!$B$7*D324)/G324)^2,0)</f>
        <v>0</v>
      </c>
    </row>
    <row r="325" customFormat="false" ht="15" hidden="false" customHeight="false" outlineLevel="0" collapsed="false">
      <c r="A325" s="4" t="s">
        <v>37</v>
      </c>
      <c r="B325" s="4" t="s">
        <v>390</v>
      </c>
      <c r="C325" s="4" t="s">
        <v>63</v>
      </c>
      <c r="D325" s="5" t="n">
        <v>210.456</v>
      </c>
      <c r="E325" s="5" t="n">
        <v>1.35</v>
      </c>
      <c r="F325" s="5" t="n">
        <v>0.00507807540533604</v>
      </c>
      <c r="G325" s="5" t="n">
        <v>1.2613</v>
      </c>
      <c r="H325" s="2" t="n">
        <f aca="false">D325*F325</f>
        <v>1.0687114375054</v>
      </c>
      <c r="I325" s="2" t="n">
        <f aca="false">IF(G325="","",D325*1000000/Inputs!$B$4^2*Inputs!$B$5/G325)</f>
        <v>0.847916016946584</v>
      </c>
      <c r="J325" s="2" t="n">
        <f aca="false">IF(C325="A",Inputs!$B$7,IF(C325="B",Inputs!$B$8,IF(C325="C",Inputs!$B$9,0)))</f>
        <v>1</v>
      </c>
      <c r="K325" s="2" t="n">
        <f aca="false">IF(AND(E325&lt;&gt;"",G325&lt;&gt;"",J325&gt;0),IF(I325&gt;=Inputs!$B$6,1,0),0)</f>
        <v>0</v>
      </c>
      <c r="L325" s="5" t="n">
        <v>0</v>
      </c>
      <c r="M325" s="5" t="n">
        <v>210.4552</v>
      </c>
      <c r="N325" s="5" t="n">
        <v>1.07</v>
      </c>
      <c r="O325" s="4" t="s">
        <v>64</v>
      </c>
      <c r="P325" s="2" t="n">
        <f aca="false">IF(K325=1,J325/G325^2,0)</f>
        <v>0</v>
      </c>
      <c r="Q325" s="2" t="n">
        <f aca="false">IF(K325=1,((E325-Result!$B$7*D325)/G325)^2,0)</f>
        <v>0</v>
      </c>
    </row>
    <row r="326" customFormat="false" ht="15" hidden="false" customHeight="false" outlineLevel="0" collapsed="false">
      <c r="A326" s="4" t="s">
        <v>37</v>
      </c>
      <c r="B326" s="4" t="s">
        <v>391</v>
      </c>
      <c r="C326" s="4" t="s">
        <v>63</v>
      </c>
      <c r="D326" s="5" t="n">
        <v>292.7785</v>
      </c>
      <c r="E326" s="5" t="n">
        <v>3.01</v>
      </c>
      <c r="F326" s="5" t="n">
        <v>0.00507807108613428</v>
      </c>
      <c r="G326" s="5" t="n">
        <v>1.2613</v>
      </c>
      <c r="H326" s="2" t="n">
        <f aca="false">D326*F326</f>
        <v>1.48675003549176</v>
      </c>
      <c r="I326" s="2" t="n">
        <f aca="false">IF(G326="","",D326*1000000/Inputs!$B$4^2*Inputs!$B$5/G326)</f>
        <v>1.17958898566729</v>
      </c>
      <c r="J326" s="2" t="n">
        <f aca="false">IF(C326="A",Inputs!$B$7,IF(C326="B",Inputs!$B$8,IF(C326="C",Inputs!$B$9,0)))</f>
        <v>1</v>
      </c>
      <c r="K326" s="2" t="n">
        <f aca="false">IF(AND(E326&lt;&gt;"",G326&lt;&gt;"",J326&gt;0),IF(I326&gt;=Inputs!$B$6,1,0),0)</f>
        <v>0</v>
      </c>
      <c r="L326" s="5" t="n">
        <v>0</v>
      </c>
      <c r="M326" s="5" t="n">
        <v>292.7779</v>
      </c>
      <c r="N326" s="5" t="n">
        <v>1.49</v>
      </c>
      <c r="O326" s="4" t="s">
        <v>64</v>
      </c>
      <c r="P326" s="2" t="n">
        <f aca="false">IF(K326=1,J326/G326^2,0)</f>
        <v>0</v>
      </c>
      <c r="Q326" s="2" t="n">
        <f aca="false">IF(K326=1,((E326-Result!$B$7*D326)/G326)^2,0)</f>
        <v>0</v>
      </c>
    </row>
    <row r="327" customFormat="false" ht="15" hidden="false" customHeight="false" outlineLevel="0" collapsed="false">
      <c r="A327" s="4" t="s">
        <v>37</v>
      </c>
      <c r="B327" s="4" t="s">
        <v>392</v>
      </c>
      <c r="C327" s="4" t="s">
        <v>63</v>
      </c>
      <c r="D327" s="5" t="n">
        <v>341.82</v>
      </c>
      <c r="E327" s="5" t="n">
        <v>0.7</v>
      </c>
      <c r="F327" s="5" t="n">
        <v>0.00507813970048518</v>
      </c>
      <c r="G327" s="5" t="n">
        <v>1.2613</v>
      </c>
      <c r="H327" s="2" t="n">
        <f aca="false">D327*F327</f>
        <v>1.73580971241984</v>
      </c>
      <c r="I327" s="2" t="n">
        <f aca="false">IF(G327="","",D327*1000000/Inputs!$B$4^2*Inputs!$B$5/G327)</f>
        <v>1.37717457764417</v>
      </c>
      <c r="J327" s="2" t="n">
        <f aca="false">IF(C327="A",Inputs!$B$7,IF(C327="B",Inputs!$B$8,IF(C327="C",Inputs!$B$9,0)))</f>
        <v>1</v>
      </c>
      <c r="K327" s="2" t="n">
        <f aca="false">IF(AND(E327&lt;&gt;"",G327&lt;&gt;"",J327&gt;0),IF(I327&gt;=Inputs!$B$6,1,0),0)</f>
        <v>0</v>
      </c>
      <c r="L327" s="5" t="n">
        <v>0</v>
      </c>
      <c r="M327" s="5" t="n">
        <v>341.8191</v>
      </c>
      <c r="N327" s="5" t="n">
        <v>1.74</v>
      </c>
      <c r="O327" s="4" t="s">
        <v>64</v>
      </c>
      <c r="P327" s="2" t="n">
        <f aca="false">IF(K327=1,J327/G327^2,0)</f>
        <v>0</v>
      </c>
      <c r="Q327" s="2" t="n">
        <f aca="false">IF(K327=1,((E327-Result!$B$7*D327)/G327)^2,0)</f>
        <v>0</v>
      </c>
    </row>
    <row r="328" customFormat="false" ht="15" hidden="false" customHeight="false" outlineLevel="0" collapsed="false">
      <c r="A328" s="4" t="s">
        <v>37</v>
      </c>
      <c r="B328" s="4" t="s">
        <v>393</v>
      </c>
      <c r="C328" s="4" t="s">
        <v>63</v>
      </c>
      <c r="D328" s="5" t="n">
        <v>259.497</v>
      </c>
      <c r="E328" s="5" t="n">
        <v>-0.96</v>
      </c>
      <c r="F328" s="5" t="n">
        <v>0.00507816508005114</v>
      </c>
      <c r="G328" s="5" t="n">
        <v>1.2613</v>
      </c>
      <c r="H328" s="2" t="n">
        <f aca="false">D328*F328</f>
        <v>1.31776860377803</v>
      </c>
      <c r="I328" s="2" t="n">
        <f aca="false">IF(G328="","",D328*1000000/Inputs!$B$4^2*Inputs!$B$5/G328)</f>
        <v>1.04549959445009</v>
      </c>
      <c r="J328" s="2" t="n">
        <f aca="false">IF(C328="A",Inputs!$B$7,IF(C328="B",Inputs!$B$8,IF(C328="C",Inputs!$B$9,0)))</f>
        <v>1</v>
      </c>
      <c r="K328" s="2" t="n">
        <f aca="false">IF(AND(E328&lt;&gt;"",G328&lt;&gt;"",J328&gt;0),IF(I328&gt;=Inputs!$B$6,1,0),0)</f>
        <v>0</v>
      </c>
      <c r="L328" s="5" t="n">
        <v>1</v>
      </c>
      <c r="M328" s="5" t="n">
        <v>259.4964</v>
      </c>
      <c r="N328" s="5" t="n">
        <v>1.32</v>
      </c>
      <c r="O328" s="4" t="s">
        <v>64</v>
      </c>
      <c r="P328" s="2" t="n">
        <f aca="false">IF(K328=1,J328/G328^2,0)</f>
        <v>0</v>
      </c>
      <c r="Q328" s="2" t="n">
        <f aca="false">IF(K328=1,((E328-Result!$B$7*D328)/G328)^2,0)</f>
        <v>0</v>
      </c>
    </row>
    <row r="329" customFormat="false" ht="15" hidden="false" customHeight="false" outlineLevel="0" collapsed="false">
      <c r="A329" s="4" t="s">
        <v>37</v>
      </c>
      <c r="B329" s="4" t="s">
        <v>394</v>
      </c>
      <c r="C329" s="4" t="s">
        <v>63</v>
      </c>
      <c r="D329" s="5" t="n">
        <v>27.451</v>
      </c>
      <c r="E329" s="5" t="n">
        <v>-1.11</v>
      </c>
      <c r="F329" s="5" t="n">
        <v>0.00507798085050513</v>
      </c>
      <c r="G329" s="5" t="n">
        <v>1.2613</v>
      </c>
      <c r="H329" s="2" t="n">
        <f aca="false">D329*F329</f>
        <v>0.139395652327216</v>
      </c>
      <c r="I329" s="2" t="n">
        <f aca="false">IF(G329="","",D329*1000000/Inputs!$B$4^2*Inputs!$B$5/G329)</f>
        <v>0.110598617198848</v>
      </c>
      <c r="J329" s="2" t="n">
        <f aca="false">IF(C329="A",Inputs!$B$7,IF(C329="B",Inputs!$B$8,IF(C329="C",Inputs!$B$9,0)))</f>
        <v>1</v>
      </c>
      <c r="K329" s="2" t="n">
        <f aca="false">IF(AND(E329&lt;&gt;"",G329&lt;&gt;"",J329&gt;0),IF(I329&gt;=Inputs!$B$6,1,0),0)</f>
        <v>0</v>
      </c>
      <c r="L329" s="5" t="n">
        <v>1</v>
      </c>
      <c r="M329" s="5" t="n">
        <v>27.4509</v>
      </c>
      <c r="N329" s="5" t="n">
        <v>0.14</v>
      </c>
      <c r="O329" s="4" t="s">
        <v>64</v>
      </c>
      <c r="P329" s="2" t="n">
        <f aca="false">IF(K329=1,J329/G329^2,0)</f>
        <v>0</v>
      </c>
      <c r="Q329" s="2" t="n">
        <f aca="false">IF(K329=1,((E329-Result!$B$7*D329)/G329)^2,0)</f>
        <v>0</v>
      </c>
    </row>
    <row r="330" customFormat="false" ht="15" hidden="false" customHeight="false" outlineLevel="0" collapsed="false">
      <c r="A330" s="4" t="s">
        <v>37</v>
      </c>
      <c r="B330" s="4" t="s">
        <v>395</v>
      </c>
      <c r="C330" s="4" t="s">
        <v>63</v>
      </c>
      <c r="D330" s="5" t="n">
        <v>103.1511</v>
      </c>
      <c r="E330" s="5" t="n">
        <v>-1.25</v>
      </c>
      <c r="F330" s="5" t="n">
        <v>0.00507804518729164</v>
      </c>
      <c r="G330" s="5" t="n">
        <v>1.2613</v>
      </c>
      <c r="H330" s="2" t="n">
        <f aca="false">D330*F330</f>
        <v>0.523805946918839</v>
      </c>
      <c r="I330" s="2" t="n">
        <f aca="false">IF(G330="","",D330*1000000/Inputs!$B$4^2*Inputs!$B$5/G330)</f>
        <v>0.415590288970895</v>
      </c>
      <c r="J330" s="2" t="n">
        <f aca="false">IF(C330="A",Inputs!$B$7,IF(C330="B",Inputs!$B$8,IF(C330="C",Inputs!$B$9,0)))</f>
        <v>1</v>
      </c>
      <c r="K330" s="2" t="n">
        <f aca="false">IF(AND(E330&lt;&gt;"",G330&lt;&gt;"",J330&gt;0),IF(I330&gt;=Inputs!$B$6,1,0),0)</f>
        <v>0</v>
      </c>
      <c r="L330" s="5" t="n">
        <v>0</v>
      </c>
      <c r="M330" s="5" t="n">
        <v>103.1507</v>
      </c>
      <c r="N330" s="5" t="n">
        <v>0.52</v>
      </c>
      <c r="O330" s="4" t="s">
        <v>64</v>
      </c>
      <c r="P330" s="2" t="n">
        <f aca="false">IF(K330=1,J330/G330^2,0)</f>
        <v>0</v>
      </c>
      <c r="Q330" s="2" t="n">
        <f aca="false">IF(K330=1,((E330-Result!$B$7*D330)/G330)^2,0)</f>
        <v>0</v>
      </c>
    </row>
    <row r="331" customFormat="false" ht="15" hidden="false" customHeight="false" outlineLevel="0" collapsed="false">
      <c r="A331" s="4" t="s">
        <v>37</v>
      </c>
      <c r="B331" s="4" t="s">
        <v>396</v>
      </c>
      <c r="C331" s="4" t="s">
        <v>63</v>
      </c>
      <c r="D331" s="5" t="n">
        <v>368.4787</v>
      </c>
      <c r="E331" s="5" t="n">
        <v>2.87</v>
      </c>
      <c r="F331" s="5" t="n">
        <v>0.00507807058339629</v>
      </c>
      <c r="G331" s="5" t="n">
        <v>1.2613</v>
      </c>
      <c r="H331" s="2" t="n">
        <f aca="false">D331*F331</f>
        <v>1.8711608470781</v>
      </c>
      <c r="I331" s="2" t="n">
        <f aca="false">IF(G331="","",D331*1000000/Inputs!$B$4^2*Inputs!$B$5/G331)</f>
        <v>1.48458106033401</v>
      </c>
      <c r="J331" s="2" t="n">
        <f aca="false">IF(C331="A",Inputs!$B$7,IF(C331="B",Inputs!$B$8,IF(C331="C",Inputs!$B$9,0)))</f>
        <v>1</v>
      </c>
      <c r="K331" s="2" t="n">
        <f aca="false">IF(AND(E331&lt;&gt;"",G331&lt;&gt;"",J331&gt;0),IF(I331&gt;=Inputs!$B$6,1,0),0)</f>
        <v>0</v>
      </c>
      <c r="L331" s="5" t="n">
        <v>1</v>
      </c>
      <c r="M331" s="5" t="n">
        <v>368.4777</v>
      </c>
      <c r="N331" s="5" t="n">
        <v>1.87</v>
      </c>
      <c r="O331" s="4" t="s">
        <v>64</v>
      </c>
      <c r="P331" s="2" t="n">
        <f aca="false">IF(K331=1,J331/G331^2,0)</f>
        <v>0</v>
      </c>
      <c r="Q331" s="2" t="n">
        <f aca="false">IF(K331=1,((E331-Result!$B$7*D331)/G331)^2,0)</f>
        <v>0</v>
      </c>
    </row>
    <row r="332" customFormat="false" ht="15" hidden="false" customHeight="false" outlineLevel="0" collapsed="false">
      <c r="A332" s="4" t="s">
        <v>37</v>
      </c>
      <c r="B332" s="4" t="s">
        <v>397</v>
      </c>
      <c r="C332" s="4" t="s">
        <v>63</v>
      </c>
      <c r="D332" s="5" t="n">
        <v>337.6843</v>
      </c>
      <c r="E332" s="5" t="n">
        <v>1.95</v>
      </c>
      <c r="F332" s="5" t="n">
        <v>0.00507802743630574</v>
      </c>
      <c r="G332" s="5" t="n">
        <v>1.2613</v>
      </c>
      <c r="H332" s="2" t="n">
        <f aca="false">D332*F332</f>
        <v>1.7147701402097</v>
      </c>
      <c r="I332" s="2" t="n">
        <f aca="false">IF(G332="","",D332*1000000/Inputs!$B$4^2*Inputs!$B$5/G332)</f>
        <v>1.36051206257553</v>
      </c>
      <c r="J332" s="2" t="n">
        <f aca="false">IF(C332="A",Inputs!$B$7,IF(C332="B",Inputs!$B$8,IF(C332="C",Inputs!$B$9,0)))</f>
        <v>1</v>
      </c>
      <c r="K332" s="2" t="n">
        <f aca="false">IF(AND(E332&lt;&gt;"",G332&lt;&gt;"",J332&gt;0),IF(I332&gt;=Inputs!$B$6,1,0),0)</f>
        <v>0</v>
      </c>
      <c r="L332" s="5" t="n">
        <v>1</v>
      </c>
      <c r="M332" s="5" t="n">
        <v>337.6835</v>
      </c>
      <c r="N332" s="5" t="n">
        <v>1.72</v>
      </c>
      <c r="O332" s="4" t="s">
        <v>64</v>
      </c>
      <c r="P332" s="2" t="n">
        <f aca="false">IF(K332=1,J332/G332^2,0)</f>
        <v>0</v>
      </c>
      <c r="Q332" s="2" t="n">
        <f aca="false">IF(K332=1,((E332-Result!$B$7*D332)/G332)^2,0)</f>
        <v>0</v>
      </c>
    </row>
    <row r="333" customFormat="false" ht="15" hidden="false" customHeight="false" outlineLevel="0" collapsed="false">
      <c r="A333" s="4" t="s">
        <v>37</v>
      </c>
      <c r="B333" s="4" t="s">
        <v>398</v>
      </c>
      <c r="C333" s="4" t="s">
        <v>63</v>
      </c>
      <c r="D333" s="5" t="n">
        <v>327.4974</v>
      </c>
      <c r="E333" s="5" t="n">
        <v>4.01</v>
      </c>
      <c r="F333" s="5" t="n">
        <v>0.00507801481376251</v>
      </c>
      <c r="G333" s="5" t="n">
        <v>1.2613</v>
      </c>
      <c r="H333" s="2" t="n">
        <f aca="false">D333*F333</f>
        <v>1.66303664866871</v>
      </c>
      <c r="I333" s="2" t="n">
        <f aca="false">IF(G333="","",D333*1000000/Inputs!$B$4^2*Inputs!$B$5/G333)</f>
        <v>1.31946958494109</v>
      </c>
      <c r="J333" s="2" t="n">
        <f aca="false">IF(C333="A",Inputs!$B$7,IF(C333="B",Inputs!$B$8,IF(C333="C",Inputs!$B$9,0)))</f>
        <v>1</v>
      </c>
      <c r="K333" s="2" t="n">
        <f aca="false">IF(AND(E333&lt;&gt;"",G333&lt;&gt;"",J333&gt;0),IF(I333&gt;=Inputs!$B$6,1,0),0)</f>
        <v>0</v>
      </c>
      <c r="L333" s="5" t="n">
        <v>0</v>
      </c>
      <c r="M333" s="5" t="n">
        <v>327.4965</v>
      </c>
      <c r="N333" s="5" t="n">
        <v>1.66</v>
      </c>
      <c r="O333" s="4" t="s">
        <v>64</v>
      </c>
      <c r="P333" s="2" t="n">
        <f aca="false">IF(K333=1,J333/G333^2,0)</f>
        <v>0</v>
      </c>
      <c r="Q333" s="2" t="n">
        <f aca="false">IF(K333=1,((E333-Result!$B$7*D333)/G333)^2,0)</f>
        <v>0</v>
      </c>
    </row>
    <row r="334" customFormat="false" ht="15" hidden="false" customHeight="false" outlineLevel="0" collapsed="false">
      <c r="A334" s="4" t="s">
        <v>37</v>
      </c>
      <c r="B334" s="4" t="s">
        <v>399</v>
      </c>
      <c r="C334" s="4" t="s">
        <v>63</v>
      </c>
      <c r="D334" s="5" t="n">
        <v>183.9525</v>
      </c>
      <c r="E334" s="5" t="n">
        <v>1.91</v>
      </c>
      <c r="F334" s="5" t="n">
        <v>0.00507810502846617</v>
      </c>
      <c r="G334" s="5" t="n">
        <v>1.2613</v>
      </c>
      <c r="H334" s="2" t="n">
        <f aca="false">D334*F334</f>
        <v>0.934130115248923</v>
      </c>
      <c r="I334" s="2" t="n">
        <f aca="false">IF(G334="","",D334*1000000/Inputs!$B$4^2*Inputs!$B$5/G334)</f>
        <v>0.741134826792139</v>
      </c>
      <c r="J334" s="2" t="n">
        <f aca="false">IF(C334="A",Inputs!$B$7,IF(C334="B",Inputs!$B$8,IF(C334="C",Inputs!$B$9,0)))</f>
        <v>1</v>
      </c>
      <c r="K334" s="2" t="n">
        <f aca="false">IF(AND(E334&lt;&gt;"",G334&lt;&gt;"",J334&gt;0),IF(I334&gt;=Inputs!$B$6,1,0),0)</f>
        <v>0</v>
      </c>
      <c r="L334" s="5" t="n">
        <v>1</v>
      </c>
      <c r="M334" s="5" t="n">
        <v>183.952</v>
      </c>
      <c r="N334" s="5" t="n">
        <v>0.93</v>
      </c>
      <c r="O334" s="4" t="s">
        <v>64</v>
      </c>
      <c r="P334" s="2" t="n">
        <f aca="false">IF(K334=1,J334/G334^2,0)</f>
        <v>0</v>
      </c>
      <c r="Q334" s="2" t="n">
        <f aca="false">IF(K334=1,((E334-Result!$B$7*D334)/G334)^2,0)</f>
        <v>0</v>
      </c>
    </row>
    <row r="335" customFormat="false" ht="15" hidden="false" customHeight="false" outlineLevel="0" collapsed="false">
      <c r="A335" s="4" t="s">
        <v>37</v>
      </c>
      <c r="B335" s="4" t="s">
        <v>400</v>
      </c>
      <c r="C335" s="4" t="s">
        <v>63</v>
      </c>
      <c r="D335" s="5" t="n">
        <v>194.1395</v>
      </c>
      <c r="E335" s="5" t="n">
        <v>-0.15</v>
      </c>
      <c r="F335" s="5" t="n">
        <v>0.00507812226744328</v>
      </c>
      <c r="G335" s="5" t="n">
        <v>1.2613</v>
      </c>
      <c r="H335" s="2" t="n">
        <f aca="false">D335*F335</f>
        <v>0.985864117940305</v>
      </c>
      <c r="I335" s="2" t="n">
        <f aca="false">IF(G335="","",D335*1000000/Inputs!$B$4^2*Inputs!$B$5/G335)</f>
        <v>0.782177707321252</v>
      </c>
      <c r="J335" s="2" t="n">
        <f aca="false">IF(C335="A",Inputs!$B$7,IF(C335="B",Inputs!$B$8,IF(C335="C",Inputs!$B$9,0)))</f>
        <v>1</v>
      </c>
      <c r="K335" s="2" t="n">
        <f aca="false">IF(AND(E335&lt;&gt;"",G335&lt;&gt;"",J335&gt;0),IF(I335&gt;=Inputs!$B$6,1,0),0)</f>
        <v>0</v>
      </c>
      <c r="L335" s="5" t="n">
        <v>0</v>
      </c>
      <c r="M335" s="5" t="n">
        <v>194.1389</v>
      </c>
      <c r="N335" s="5" t="n">
        <v>0.99</v>
      </c>
      <c r="O335" s="4" t="s">
        <v>64</v>
      </c>
      <c r="P335" s="2" t="n">
        <f aca="false">IF(K335=1,J335/G335^2,0)</f>
        <v>0</v>
      </c>
      <c r="Q335" s="2" t="n">
        <f aca="false">IF(K335=1,((E335-Result!$B$7*D335)/G335)^2,0)</f>
        <v>0</v>
      </c>
    </row>
    <row r="336" customFormat="false" ht="15" hidden="false" customHeight="false" outlineLevel="0" collapsed="false">
      <c r="A336" s="4" t="s">
        <v>37</v>
      </c>
      <c r="B336" s="4" t="s">
        <v>401</v>
      </c>
      <c r="C336" s="4" t="s">
        <v>63</v>
      </c>
      <c r="D336" s="5" t="n">
        <v>187.1552</v>
      </c>
      <c r="E336" s="5" t="n">
        <v>0.54</v>
      </c>
      <c r="F336" s="5" t="n">
        <v>0.00507800190739364</v>
      </c>
      <c r="G336" s="5" t="n">
        <v>1.2613</v>
      </c>
      <c r="H336" s="2" t="n">
        <f aca="false">D336*F336</f>
        <v>0.950374462578639</v>
      </c>
      <c r="I336" s="2" t="n">
        <f aca="false">IF(G336="","",D336*1000000/Inputs!$B$4^2*Inputs!$B$5/G336)</f>
        <v>0.754038334544234</v>
      </c>
      <c r="J336" s="2" t="n">
        <f aca="false">IF(C336="A",Inputs!$B$7,IF(C336="B",Inputs!$B$8,IF(C336="C",Inputs!$B$9,0)))</f>
        <v>1</v>
      </c>
      <c r="K336" s="2" t="n">
        <f aca="false">IF(AND(E336&lt;&gt;"",G336&lt;&gt;"",J336&gt;0),IF(I336&gt;=Inputs!$B$6,1,0),0)</f>
        <v>0</v>
      </c>
      <c r="L336" s="5" t="n">
        <v>1</v>
      </c>
      <c r="M336" s="5" t="n">
        <v>187.1546</v>
      </c>
      <c r="N336" s="5" t="n">
        <v>0.95</v>
      </c>
      <c r="O336" s="4" t="s">
        <v>64</v>
      </c>
      <c r="P336" s="2" t="n">
        <f aca="false">IF(K336=1,J336/G336^2,0)</f>
        <v>0</v>
      </c>
      <c r="Q336" s="2" t="n">
        <f aca="false">IF(K336=1,((E336-Result!$B$7*D336)/G336)^2,0)</f>
        <v>0</v>
      </c>
    </row>
    <row r="337" customFormat="false" ht="15" hidden="false" customHeight="false" outlineLevel="0" collapsed="false">
      <c r="A337" s="4" t="s">
        <v>37</v>
      </c>
      <c r="B337" s="4" t="s">
        <v>402</v>
      </c>
      <c r="C337" s="4" t="s">
        <v>63</v>
      </c>
      <c r="D337" s="5" t="n">
        <v>119.5481</v>
      </c>
      <c r="E337" s="5" t="n">
        <v>0.44</v>
      </c>
      <c r="F337" s="5" t="n">
        <v>0.00507787261629592</v>
      </c>
      <c r="G337" s="5" t="n">
        <v>1.2613</v>
      </c>
      <c r="H337" s="2" t="n">
        <f aca="false">D337*F337</f>
        <v>0.607050023320207</v>
      </c>
      <c r="I337" s="2" t="n">
        <f aca="false">IF(G337="","",D337*1000000/Inputs!$B$4^2*Inputs!$B$5/G337)</f>
        <v>0.481652928809499</v>
      </c>
      <c r="J337" s="2" t="n">
        <f aca="false">IF(C337="A",Inputs!$B$7,IF(C337="B",Inputs!$B$8,IF(C337="C",Inputs!$B$9,0)))</f>
        <v>1</v>
      </c>
      <c r="K337" s="2" t="n">
        <f aca="false">IF(AND(E337&lt;&gt;"",G337&lt;&gt;"",J337&gt;0),IF(I337&gt;=Inputs!$B$6,1,0),0)</f>
        <v>0</v>
      </c>
      <c r="L337" s="5" t="n">
        <v>1</v>
      </c>
      <c r="M337" s="5" t="n">
        <v>119.5472</v>
      </c>
      <c r="N337" s="5" t="n">
        <v>0.61</v>
      </c>
      <c r="O337" s="4" t="s">
        <v>64</v>
      </c>
      <c r="P337" s="2" t="n">
        <f aca="false">IF(K337=1,J337/G337^2,0)</f>
        <v>0</v>
      </c>
      <c r="Q337" s="2" t="n">
        <f aca="false">IF(K337=1,((E337-Result!$B$7*D337)/G337)^2,0)</f>
        <v>0</v>
      </c>
    </row>
    <row r="338" customFormat="false" ht="15" hidden="false" customHeight="false" outlineLevel="0" collapsed="false">
      <c r="A338" s="4" t="s">
        <v>37</v>
      </c>
      <c r="B338" s="4" t="s">
        <v>403</v>
      </c>
      <c r="C338" s="4" t="s">
        <v>63</v>
      </c>
      <c r="D338" s="5" t="n">
        <v>104.4208</v>
      </c>
      <c r="E338" s="5" t="n">
        <v>-0.62</v>
      </c>
      <c r="F338" s="5" t="n">
        <v>0.00507785969757821</v>
      </c>
      <c r="G338" s="5" t="n">
        <v>1.2613</v>
      </c>
      <c r="H338" s="2" t="n">
        <f aca="false">D338*F338</f>
        <v>0.530234171908875</v>
      </c>
      <c r="I338" s="2" t="n">
        <f aca="false">IF(G338="","",D338*1000000/Inputs!$B$4^2*Inputs!$B$5/G338)</f>
        <v>0.420705842657733</v>
      </c>
      <c r="J338" s="2" t="n">
        <f aca="false">IF(C338="A",Inputs!$B$7,IF(C338="B",Inputs!$B$8,IF(C338="C",Inputs!$B$9,0)))</f>
        <v>1</v>
      </c>
      <c r="K338" s="2" t="n">
        <f aca="false">IF(AND(E338&lt;&gt;"",G338&lt;&gt;"",J338&gt;0),IF(I338&gt;=Inputs!$B$6,1,0),0)</f>
        <v>0</v>
      </c>
      <c r="L338" s="5" t="n">
        <v>1</v>
      </c>
      <c r="M338" s="5" t="n">
        <v>104.4202</v>
      </c>
      <c r="N338" s="5" t="n">
        <v>0.53</v>
      </c>
      <c r="O338" s="4" t="s">
        <v>64</v>
      </c>
      <c r="P338" s="2" t="n">
        <f aca="false">IF(K338=1,J338/G338^2,0)</f>
        <v>0</v>
      </c>
      <c r="Q338" s="2" t="n">
        <f aca="false">IF(K338=1,((E338-Result!$B$7*D338)/G338)^2,0)</f>
        <v>0</v>
      </c>
    </row>
    <row r="339" customFormat="false" ht="15" hidden="false" customHeight="false" outlineLevel="0" collapsed="false">
      <c r="A339" s="4" t="s">
        <v>37</v>
      </c>
      <c r="B339" s="4" t="s">
        <v>404</v>
      </c>
      <c r="C339" s="4" t="s">
        <v>63</v>
      </c>
      <c r="D339" s="5" t="n">
        <v>171.1381</v>
      </c>
      <c r="E339" s="5" t="n">
        <v>-0.15</v>
      </c>
      <c r="F339" s="5" t="n">
        <v>0.00507803925508905</v>
      </c>
      <c r="G339" s="5" t="n">
        <v>1.2613</v>
      </c>
      <c r="H339" s="2" t="n">
        <f aca="false">D339*F339</f>
        <v>0.869045989841356</v>
      </c>
      <c r="I339" s="2" t="n">
        <f aca="false">IF(G339="","",D339*1000000/Inputs!$B$4^2*Inputs!$B$5/G339)</f>
        <v>0.689506291575465</v>
      </c>
      <c r="J339" s="2" t="n">
        <f aca="false">IF(C339="A",Inputs!$B$7,IF(C339="B",Inputs!$B$8,IF(C339="C",Inputs!$B$9,0)))</f>
        <v>1</v>
      </c>
      <c r="K339" s="2" t="n">
        <f aca="false">IF(AND(E339&lt;&gt;"",G339&lt;&gt;"",J339&gt;0),IF(I339&gt;=Inputs!$B$6,1,0),0)</f>
        <v>0</v>
      </c>
      <c r="L339" s="5" t="n">
        <v>1</v>
      </c>
      <c r="M339" s="5" t="n">
        <v>171.1378</v>
      </c>
      <c r="N339" s="5" t="n">
        <v>0.87</v>
      </c>
      <c r="O339" s="4" t="s">
        <v>64</v>
      </c>
      <c r="P339" s="2" t="n">
        <f aca="false">IF(K339=1,J339/G339^2,0)</f>
        <v>0</v>
      </c>
      <c r="Q339" s="2" t="n">
        <f aca="false">IF(K339=1,((E339-Result!$B$7*D339)/G339)^2,0)</f>
        <v>0</v>
      </c>
    </row>
    <row r="340" customFormat="false" ht="15" hidden="false" customHeight="false" outlineLevel="0" collapsed="false">
      <c r="A340" s="4" t="s">
        <v>37</v>
      </c>
      <c r="B340" s="4" t="s">
        <v>405</v>
      </c>
      <c r="C340" s="4" t="s">
        <v>63</v>
      </c>
      <c r="D340" s="5" t="n">
        <v>148.8708</v>
      </c>
      <c r="E340" s="5" t="n">
        <v>2.48</v>
      </c>
      <c r="F340" s="5" t="n">
        <v>0.00507787175746345</v>
      </c>
      <c r="G340" s="5" t="n">
        <v>1.2613</v>
      </c>
      <c r="H340" s="2" t="n">
        <f aca="false">D340*F340</f>
        <v>0.75594683083099</v>
      </c>
      <c r="I340" s="2" t="n">
        <f aca="false">IF(G340="","",D340*1000000/Inputs!$B$4^2*Inputs!$B$5/G340)</f>
        <v>0.599792525637908</v>
      </c>
      <c r="J340" s="2" t="n">
        <f aca="false">IF(C340="A",Inputs!$B$7,IF(C340="B",Inputs!$B$8,IF(C340="C",Inputs!$B$9,0)))</f>
        <v>1</v>
      </c>
      <c r="K340" s="2" t="n">
        <f aca="false">IF(AND(E340&lt;&gt;"",G340&lt;&gt;"",J340&gt;0),IF(I340&gt;=Inputs!$B$6,1,0),0)</f>
        <v>0</v>
      </c>
      <c r="L340" s="5" t="n">
        <v>1</v>
      </c>
      <c r="M340" s="5" t="n">
        <v>148.8701</v>
      </c>
      <c r="N340" s="5" t="n">
        <v>0.76</v>
      </c>
      <c r="O340" s="4" t="s">
        <v>64</v>
      </c>
      <c r="P340" s="2" t="n">
        <f aca="false">IF(K340=1,J340/G340^2,0)</f>
        <v>0</v>
      </c>
      <c r="Q340" s="2" t="n">
        <f aca="false">IF(K340=1,((E340-Result!$B$7*D340)/G340)^2,0)</f>
        <v>0</v>
      </c>
    </row>
    <row r="341" customFormat="false" ht="15" hidden="false" customHeight="false" outlineLevel="0" collapsed="false">
      <c r="A341" s="4" t="s">
        <v>37</v>
      </c>
      <c r="B341" s="4" t="s">
        <v>406</v>
      </c>
      <c r="C341" s="4" t="s">
        <v>63</v>
      </c>
      <c r="D341" s="5" t="n">
        <v>83.3575</v>
      </c>
      <c r="E341" s="5" t="n">
        <v>5.5</v>
      </c>
      <c r="F341" s="5" t="n">
        <v>0.00507795642327122</v>
      </c>
      <c r="G341" s="5" t="n">
        <v>1.2613</v>
      </c>
      <c r="H341" s="2" t="n">
        <f aca="false">D341*F341</f>
        <v>0.42328575255283</v>
      </c>
      <c r="I341" s="2" t="n">
        <f aca="false">IF(G341="","",D341*1000000/Inputs!$B$4^2*Inputs!$B$5/G341)</f>
        <v>0.335842928605622</v>
      </c>
      <c r="J341" s="2" t="n">
        <f aca="false">IF(C341="A",Inputs!$B$7,IF(C341="B",Inputs!$B$8,IF(C341="C",Inputs!$B$9,0)))</f>
        <v>1</v>
      </c>
      <c r="K341" s="2" t="n">
        <f aca="false">IF(AND(E341&lt;&gt;"",G341&lt;&gt;"",J341&gt;0),IF(I341&gt;=Inputs!$B$6,1,0),0)</f>
        <v>0</v>
      </c>
      <c r="L341" s="5" t="n">
        <v>1</v>
      </c>
      <c r="M341" s="5" t="n">
        <v>83.3572</v>
      </c>
      <c r="N341" s="5" t="n">
        <v>0.42</v>
      </c>
      <c r="O341" s="4" t="s">
        <v>64</v>
      </c>
      <c r="P341" s="2" t="n">
        <f aca="false">IF(K341=1,J341/G341^2,0)</f>
        <v>0</v>
      </c>
      <c r="Q341" s="2" t="n">
        <f aca="false">IF(K341=1,((E341-Result!$B$7*D341)/G341)^2,0)</f>
        <v>0</v>
      </c>
    </row>
    <row r="342" customFormat="false" ht="15" hidden="false" customHeight="false" outlineLevel="0" collapsed="false">
      <c r="A342" s="4" t="s">
        <v>37</v>
      </c>
      <c r="B342" s="4" t="s">
        <v>407</v>
      </c>
      <c r="C342" s="4" t="s">
        <v>63</v>
      </c>
      <c r="D342" s="5" t="n">
        <v>123.9535</v>
      </c>
      <c r="E342" s="5" t="n">
        <v>-0.03</v>
      </c>
      <c r="F342" s="5" t="n">
        <v>0.0050778436390467</v>
      </c>
      <c r="G342" s="5" t="n">
        <v>1.2613</v>
      </c>
      <c r="H342" s="2" t="n">
        <f aca="false">D342*F342</f>
        <v>0.629416491512575</v>
      </c>
      <c r="I342" s="2" t="n">
        <f aca="false">IF(G342="","",D342*1000000/Inputs!$B$4^2*Inputs!$B$5/G342)</f>
        <v>0.499402050816267</v>
      </c>
      <c r="J342" s="2" t="n">
        <f aca="false">IF(C342="A",Inputs!$B$7,IF(C342="B",Inputs!$B$8,IF(C342="C",Inputs!$B$9,0)))</f>
        <v>1</v>
      </c>
      <c r="K342" s="2" t="n">
        <f aca="false">IF(AND(E342&lt;&gt;"",G342&lt;&gt;"",J342&gt;0),IF(I342&gt;=Inputs!$B$6,1,0),0)</f>
        <v>0</v>
      </c>
      <c r="L342" s="5" t="n">
        <v>1</v>
      </c>
      <c r="M342" s="5" t="n">
        <v>123.9528</v>
      </c>
      <c r="N342" s="5" t="n">
        <v>0.63</v>
      </c>
      <c r="O342" s="4" t="s">
        <v>64</v>
      </c>
      <c r="P342" s="2" t="n">
        <f aca="false">IF(K342=1,J342/G342^2,0)</f>
        <v>0</v>
      </c>
      <c r="Q342" s="2" t="n">
        <f aca="false">IF(K342=1,((E342-Result!$B$7*D342)/G342)^2,0)</f>
        <v>0</v>
      </c>
    </row>
    <row r="343" customFormat="false" ht="15" hidden="false" customHeight="false" outlineLevel="0" collapsed="false">
      <c r="A343" s="4" t="s">
        <v>37</v>
      </c>
      <c r="B343" s="4" t="s">
        <v>408</v>
      </c>
      <c r="C343" s="4" t="s">
        <v>63</v>
      </c>
      <c r="D343" s="5" t="n">
        <v>238.3846</v>
      </c>
      <c r="E343" s="5" t="n">
        <v>2.4</v>
      </c>
      <c r="F343" s="5" t="n">
        <v>0.00507773307543948</v>
      </c>
      <c r="G343" s="5" t="n">
        <v>1.2613</v>
      </c>
      <c r="H343" s="2" t="n">
        <f aca="false">D343*F343</f>
        <v>1.21045336809541</v>
      </c>
      <c r="I343" s="2" t="n">
        <f aca="false">IF(G343="","",D343*1000000/Inputs!$B$4^2*Inputs!$B$5/G343)</f>
        <v>0.960438859112616</v>
      </c>
      <c r="J343" s="2" t="n">
        <f aca="false">IF(C343="A",Inputs!$B$7,IF(C343="B",Inputs!$B$8,IF(C343="C",Inputs!$B$9,0)))</f>
        <v>1</v>
      </c>
      <c r="K343" s="2" t="n">
        <f aca="false">IF(AND(E343&lt;&gt;"",G343&lt;&gt;"",J343&gt;0),IF(I343&gt;=Inputs!$B$6,1,0),0)</f>
        <v>0</v>
      </c>
      <c r="L343" s="5" t="n">
        <v>1</v>
      </c>
      <c r="M343" s="5" t="n">
        <v>238.3841</v>
      </c>
      <c r="N343" s="5" t="n">
        <v>1.21</v>
      </c>
      <c r="O343" s="4" t="s">
        <v>64</v>
      </c>
      <c r="P343" s="2" t="n">
        <f aca="false">IF(K343=1,J343/G343^2,0)</f>
        <v>0</v>
      </c>
      <c r="Q343" s="2" t="n">
        <f aca="false">IF(K343=1,((E343-Result!$B$7*D343)/G343)^2,0)</f>
        <v>0</v>
      </c>
    </row>
    <row r="344" customFormat="false" ht="15" hidden="false" customHeight="false" outlineLevel="0" collapsed="false">
      <c r="A344" s="4" t="s">
        <v>37</v>
      </c>
      <c r="B344" s="4" t="s">
        <v>409</v>
      </c>
      <c r="C344" s="4" t="s">
        <v>63</v>
      </c>
      <c r="D344" s="5" t="n">
        <v>203.9686</v>
      </c>
      <c r="E344" s="5" t="n">
        <v>1.55</v>
      </c>
      <c r="F344" s="5" t="n">
        <v>0.00507777280555887</v>
      </c>
      <c r="G344" s="5" t="n">
        <v>1.2613</v>
      </c>
      <c r="H344" s="2" t="n">
        <f aca="false">D344*F344</f>
        <v>1.03570621026791</v>
      </c>
      <c r="I344" s="2" t="n">
        <f aca="false">IF(G344="","",D344*1000000/Inputs!$B$4^2*Inputs!$B$5/G344)</f>
        <v>0.821778627809001</v>
      </c>
      <c r="J344" s="2" t="n">
        <f aca="false">IF(C344="A",Inputs!$B$7,IF(C344="B",Inputs!$B$8,IF(C344="C",Inputs!$B$9,0)))</f>
        <v>1</v>
      </c>
      <c r="K344" s="2" t="n">
        <f aca="false">IF(AND(E344&lt;&gt;"",G344&lt;&gt;"",J344&gt;0),IF(I344&gt;=Inputs!$B$6,1,0),0)</f>
        <v>0</v>
      </c>
      <c r="L344" s="5" t="n">
        <v>1</v>
      </c>
      <c r="M344" s="5" t="n">
        <v>203.9679</v>
      </c>
      <c r="N344" s="5" t="n">
        <v>1.04</v>
      </c>
      <c r="O344" s="4" t="s">
        <v>64</v>
      </c>
      <c r="P344" s="2" t="n">
        <f aca="false">IF(K344=1,J344/G344^2,0)</f>
        <v>0</v>
      </c>
      <c r="Q344" s="2" t="n">
        <f aca="false">IF(K344=1,((E344-Result!$B$7*D344)/G344)^2,0)</f>
        <v>0</v>
      </c>
    </row>
    <row r="345" customFormat="false" ht="15" hidden="false" customHeight="false" outlineLevel="0" collapsed="false">
      <c r="A345" s="4" t="s">
        <v>37</v>
      </c>
      <c r="B345" s="4" t="s">
        <v>410</v>
      </c>
      <c r="C345" s="4" t="s">
        <v>63</v>
      </c>
      <c r="D345" s="5" t="n">
        <v>104.3776</v>
      </c>
      <c r="E345" s="5" t="n">
        <v>-1.45</v>
      </c>
      <c r="F345" s="5" t="n">
        <v>0.00507788334020285</v>
      </c>
      <c r="G345" s="5" t="n">
        <v>1.2613</v>
      </c>
      <c r="H345" s="2" t="n">
        <f aca="false">D345*F345</f>
        <v>0.530017276130357</v>
      </c>
      <c r="I345" s="2" t="n">
        <f aca="false">IF(G345="","",D345*1000000/Inputs!$B$4^2*Inputs!$B$5/G345)</f>
        <v>0.420531792158189</v>
      </c>
      <c r="J345" s="2" t="n">
        <f aca="false">IF(C345="A",Inputs!$B$7,IF(C345="B",Inputs!$B$8,IF(C345="C",Inputs!$B$9,0)))</f>
        <v>1</v>
      </c>
      <c r="K345" s="2" t="n">
        <f aca="false">IF(AND(E345&lt;&gt;"",G345&lt;&gt;"",J345&gt;0),IF(I345&gt;=Inputs!$B$6,1,0),0)</f>
        <v>0</v>
      </c>
      <c r="L345" s="5" t="n">
        <v>1</v>
      </c>
      <c r="M345" s="5" t="n">
        <v>104.3771</v>
      </c>
      <c r="N345" s="5" t="n">
        <v>0.53</v>
      </c>
      <c r="O345" s="4" t="s">
        <v>411</v>
      </c>
      <c r="P345" s="2" t="n">
        <f aca="false">IF(K345=1,J345/G345^2,0)</f>
        <v>0</v>
      </c>
      <c r="Q345" s="2" t="n">
        <f aca="false">IF(K345=1,((E345-Result!$B$7*D345)/G345)^2,0)</f>
        <v>0</v>
      </c>
    </row>
    <row r="346" customFormat="false" ht="15" hidden="false" customHeight="false" outlineLevel="0" collapsed="false">
      <c r="A346" s="4" t="s">
        <v>37</v>
      </c>
      <c r="B346" s="4" t="s">
        <v>412</v>
      </c>
      <c r="C346" s="4" t="s">
        <v>63</v>
      </c>
      <c r="D346" s="5" t="n">
        <v>240.1364</v>
      </c>
      <c r="E346" s="5" t="n">
        <v>-0.16</v>
      </c>
      <c r="F346" s="5" t="n">
        <v>0.00507771585972225</v>
      </c>
      <c r="G346" s="5" t="n">
        <v>1.2613</v>
      </c>
      <c r="H346" s="2" t="n">
        <f aca="false">D346*F346</f>
        <v>1.21934440677661</v>
      </c>
      <c r="I346" s="2" t="n">
        <f aca="false">IF(G346="","",D346*1000000/Inputs!$B$4^2*Inputs!$B$5/G346)</f>
        <v>0.967496768027007</v>
      </c>
      <c r="J346" s="2" t="n">
        <f aca="false">IF(C346="A",Inputs!$B$7,IF(C346="B",Inputs!$B$8,IF(C346="C",Inputs!$B$9,0)))</f>
        <v>1</v>
      </c>
      <c r="K346" s="2" t="n">
        <f aca="false">IF(AND(E346&lt;&gt;"",G346&lt;&gt;"",J346&gt;0),IF(I346&gt;=Inputs!$B$6,1,0),0)</f>
        <v>0</v>
      </c>
      <c r="L346" s="5" t="n">
        <v>0</v>
      </c>
      <c r="M346" s="5" t="n">
        <v>240.1355</v>
      </c>
      <c r="N346" s="5" t="n">
        <v>1.22</v>
      </c>
      <c r="O346" s="4" t="s">
        <v>64</v>
      </c>
      <c r="P346" s="2" t="n">
        <f aca="false">IF(K346=1,J346/G346^2,0)</f>
        <v>0</v>
      </c>
      <c r="Q346" s="2" t="n">
        <f aca="false">IF(K346=1,((E346-Result!$B$7*D346)/G346)^2,0)</f>
        <v>0</v>
      </c>
    </row>
    <row r="347" customFormat="false" ht="15" hidden="false" customHeight="false" outlineLevel="0" collapsed="false">
      <c r="A347" s="4" t="s">
        <v>37</v>
      </c>
      <c r="B347" s="4" t="s">
        <v>413</v>
      </c>
      <c r="C347" s="4" t="s">
        <v>63</v>
      </c>
      <c r="D347" s="5" t="n">
        <v>115.8625</v>
      </c>
      <c r="E347" s="5" t="n">
        <v>1.71</v>
      </c>
      <c r="F347" s="5" t="n">
        <v>0.00507761522274869</v>
      </c>
      <c r="G347" s="5" t="n">
        <v>1.2613</v>
      </c>
      <c r="H347" s="2" t="n">
        <f aca="false">D347*F347</f>
        <v>0.58830519374572</v>
      </c>
      <c r="I347" s="2" t="n">
        <f aca="false">IF(G347="","",D347*1000000/Inputs!$B$4^2*Inputs!$B$5/G347)</f>
        <v>0.466803842672452</v>
      </c>
      <c r="J347" s="2" t="n">
        <f aca="false">IF(C347="A",Inputs!$B$7,IF(C347="B",Inputs!$B$8,IF(C347="C",Inputs!$B$9,0)))</f>
        <v>1</v>
      </c>
      <c r="K347" s="2" t="n">
        <f aca="false">IF(AND(E347&lt;&gt;"",G347&lt;&gt;"",J347&gt;0),IF(I347&gt;=Inputs!$B$6,1,0),0)</f>
        <v>0</v>
      </c>
      <c r="L347" s="5" t="n">
        <v>0</v>
      </c>
      <c r="M347" s="5" t="n">
        <v>115.8618</v>
      </c>
      <c r="N347" s="5" t="n">
        <v>0.59</v>
      </c>
      <c r="O347" s="4" t="s">
        <v>64</v>
      </c>
      <c r="P347" s="2" t="n">
        <f aca="false">IF(K347=1,J347/G347^2,0)</f>
        <v>0</v>
      </c>
      <c r="Q347" s="2" t="n">
        <f aca="false">IF(K347=1,((E347-Result!$B$7*D347)/G347)^2,0)</f>
        <v>0</v>
      </c>
    </row>
    <row r="348" customFormat="false" ht="15" hidden="false" customHeight="false" outlineLevel="0" collapsed="false">
      <c r="A348" s="4" t="s">
        <v>37</v>
      </c>
      <c r="B348" s="4" t="s">
        <v>414</v>
      </c>
      <c r="C348" s="4" t="s">
        <v>63</v>
      </c>
      <c r="D348" s="5" t="n">
        <v>460.208</v>
      </c>
      <c r="E348" s="5" t="n">
        <v>2.16</v>
      </c>
      <c r="F348" s="5" t="n">
        <v>0.00507768838715889</v>
      </c>
      <c r="G348" s="5" t="n">
        <v>1.2613</v>
      </c>
      <c r="H348" s="2" t="n">
        <f aca="false">D348*F348</f>
        <v>2.33679281727762</v>
      </c>
      <c r="I348" s="2" t="n">
        <f aca="false">IF(G348="","",D348*1000000/Inputs!$B$4^2*Inputs!$B$5/G348)</f>
        <v>1.85415352533049</v>
      </c>
      <c r="J348" s="2" t="n">
        <f aca="false">IF(C348="A",Inputs!$B$7,IF(C348="B",Inputs!$B$8,IF(C348="C",Inputs!$B$9,0)))</f>
        <v>1</v>
      </c>
      <c r="K348" s="2" t="n">
        <f aca="false">IF(AND(E348&lt;&gt;"",G348&lt;&gt;"",J348&gt;0),IF(I348&gt;=Inputs!$B$6,1,0),0)</f>
        <v>0</v>
      </c>
      <c r="L348" s="5" t="n">
        <v>1</v>
      </c>
      <c r="M348" s="5" t="n">
        <v>460.2073</v>
      </c>
      <c r="N348" s="5" t="n">
        <v>2.34</v>
      </c>
      <c r="O348" s="4" t="s">
        <v>64</v>
      </c>
      <c r="P348" s="2" t="n">
        <f aca="false">IF(K348=1,J348/G348^2,0)</f>
        <v>0</v>
      </c>
      <c r="Q348" s="2" t="n">
        <f aca="false">IF(K348=1,((E348-Result!$B$7*D348)/G348)^2,0)</f>
        <v>0</v>
      </c>
    </row>
    <row r="349" customFormat="false" ht="15" hidden="false" customHeight="false" outlineLevel="0" collapsed="false">
      <c r="A349" s="4" t="s">
        <v>37</v>
      </c>
      <c r="B349" s="4" t="s">
        <v>415</v>
      </c>
      <c r="C349" s="4" t="s">
        <v>63</v>
      </c>
      <c r="D349" s="5" t="n">
        <v>104.2098</v>
      </c>
      <c r="E349" s="5" t="n">
        <v>0.61</v>
      </c>
      <c r="F349" s="5" t="n">
        <v>0.00507770618606546</v>
      </c>
      <c r="G349" s="5" t="n">
        <v>1.2613</v>
      </c>
      <c r="H349" s="2" t="n">
        <f aca="false">D349*F349</f>
        <v>0.529146746108645</v>
      </c>
      <c r="I349" s="2" t="n">
        <f aca="false">IF(G349="","",D349*1000000/Inputs!$B$4^2*Inputs!$B$5/G349)</f>
        <v>0.419855734893755</v>
      </c>
      <c r="J349" s="2" t="n">
        <f aca="false">IF(C349="A",Inputs!$B$7,IF(C349="B",Inputs!$B$8,IF(C349="C",Inputs!$B$9,0)))</f>
        <v>1</v>
      </c>
      <c r="K349" s="2" t="n">
        <f aca="false">IF(AND(E349&lt;&gt;"",G349&lt;&gt;"",J349&gt;0),IF(I349&gt;=Inputs!$B$6,1,0),0)</f>
        <v>0</v>
      </c>
      <c r="L349" s="5" t="n">
        <v>0</v>
      </c>
      <c r="M349" s="5" t="n">
        <v>104.2099</v>
      </c>
      <c r="N349" s="5" t="n">
        <v>0.53</v>
      </c>
      <c r="O349" s="4" t="s">
        <v>64</v>
      </c>
      <c r="P349" s="2" t="n">
        <f aca="false">IF(K349=1,J349/G349^2,0)</f>
        <v>0</v>
      </c>
      <c r="Q349" s="2" t="n">
        <f aca="false">IF(K349=1,((E349-Result!$B$7*D349)/G349)^2,0)</f>
        <v>0</v>
      </c>
    </row>
    <row r="350" customFormat="false" ht="15" hidden="false" customHeight="false" outlineLevel="0" collapsed="false">
      <c r="A350" s="4" t="s">
        <v>37</v>
      </c>
      <c r="B350" s="4" t="s">
        <v>416</v>
      </c>
      <c r="C350" s="4" t="s">
        <v>63</v>
      </c>
      <c r="D350" s="5" t="n">
        <v>216.7587</v>
      </c>
      <c r="E350" s="5" t="n">
        <v>0.56</v>
      </c>
      <c r="F350" s="5" t="n">
        <v>0.00507768758957768</v>
      </c>
      <c r="G350" s="5" t="n">
        <v>1.2613</v>
      </c>
      <c r="H350" s="2" t="n">
        <f aca="false">D350*F350</f>
        <v>1.10063296092299</v>
      </c>
      <c r="I350" s="2" t="n">
        <f aca="false">IF(G350="","",D350*1000000/Inputs!$B$4^2*Inputs!$B$5/G350)</f>
        <v>0.873309259619681</v>
      </c>
      <c r="J350" s="2" t="n">
        <f aca="false">IF(C350="A",Inputs!$B$7,IF(C350="B",Inputs!$B$8,IF(C350="C",Inputs!$B$9,0)))</f>
        <v>1</v>
      </c>
      <c r="K350" s="2" t="n">
        <f aca="false">IF(AND(E350&lt;&gt;"",G350&lt;&gt;"",J350&gt;0),IF(I350&gt;=Inputs!$B$6,1,0),0)</f>
        <v>0</v>
      </c>
      <c r="L350" s="5" t="n">
        <v>0</v>
      </c>
      <c r="M350" s="5" t="n">
        <v>216.758</v>
      </c>
      <c r="N350" s="5" t="n">
        <v>1.1</v>
      </c>
      <c r="O350" s="4" t="s">
        <v>64</v>
      </c>
      <c r="P350" s="2" t="n">
        <f aca="false">IF(K350=1,J350/G350^2,0)</f>
        <v>0</v>
      </c>
      <c r="Q350" s="2" t="n">
        <f aca="false">IF(K350=1,((E350-Result!$B$7*D350)/G350)^2,0)</f>
        <v>0</v>
      </c>
    </row>
    <row r="351" customFormat="false" ht="15" hidden="false" customHeight="false" outlineLevel="0" collapsed="false">
      <c r="A351" s="4" t="s">
        <v>37</v>
      </c>
      <c r="B351" s="4" t="s">
        <v>417</v>
      </c>
      <c r="C351" s="4" t="s">
        <v>63</v>
      </c>
      <c r="D351" s="5" t="n">
        <v>482.633</v>
      </c>
      <c r="E351" s="5" t="n">
        <v>2.61</v>
      </c>
      <c r="F351" s="5" t="n">
        <v>0.00507776071970682</v>
      </c>
      <c r="G351" s="5" t="n">
        <v>1.2613</v>
      </c>
      <c r="H351" s="2" t="n">
        <f aca="false">D351*F351</f>
        <v>2.45069488943426</v>
      </c>
      <c r="I351" s="2" t="n">
        <f aca="false">IF(G351="","",D351*1000000/Inputs!$B$4^2*Inputs!$B$5/G351)</f>
        <v>1.94450265617032</v>
      </c>
      <c r="J351" s="2" t="n">
        <f aca="false">IF(C351="A",Inputs!$B$7,IF(C351="B",Inputs!$B$8,IF(C351="C",Inputs!$B$9,0)))</f>
        <v>1</v>
      </c>
      <c r="K351" s="2" t="n">
        <f aca="false">IF(AND(E351&lt;&gt;"",G351&lt;&gt;"",J351&gt;0),IF(I351&gt;=Inputs!$B$6,1,0),0)</f>
        <v>0</v>
      </c>
      <c r="L351" s="5" t="n">
        <v>1</v>
      </c>
      <c r="M351" s="5" t="n">
        <v>482.6324</v>
      </c>
      <c r="N351" s="5" t="n">
        <v>2.45</v>
      </c>
      <c r="O351" s="4" t="s">
        <v>64</v>
      </c>
      <c r="P351" s="2" t="n">
        <f aca="false">IF(K351=1,J351/G351^2,0)</f>
        <v>0</v>
      </c>
      <c r="Q351" s="2" t="n">
        <f aca="false">IF(K351=1,((E351-Result!$B$7*D351)/G351)^2,0)</f>
        <v>0</v>
      </c>
    </row>
    <row r="352" customFormat="false" ht="15" hidden="false" customHeight="false" outlineLevel="0" collapsed="false">
      <c r="A352" s="4" t="s">
        <v>37</v>
      </c>
      <c r="B352" s="4" t="s">
        <v>418</v>
      </c>
      <c r="C352" s="4" t="s">
        <v>63</v>
      </c>
      <c r="D352" s="5" t="n">
        <v>370.0848</v>
      </c>
      <c r="E352" s="5" t="n">
        <v>2.66</v>
      </c>
      <c r="F352" s="5" t="n">
        <v>0.00507778817930337</v>
      </c>
      <c r="G352" s="5" t="n">
        <v>1.2613</v>
      </c>
      <c r="H352" s="2" t="n">
        <f aca="false">D352*F352</f>
        <v>1.87921222277985</v>
      </c>
      <c r="I352" s="2" t="n">
        <f aca="false">IF(G352="","",D352*1000000/Inputs!$B$4^2*Inputs!$B$5/G352)</f>
        <v>1.49105195170712</v>
      </c>
      <c r="J352" s="2" t="n">
        <f aca="false">IF(C352="A",Inputs!$B$7,IF(C352="B",Inputs!$B$8,IF(C352="C",Inputs!$B$9,0)))</f>
        <v>1</v>
      </c>
      <c r="K352" s="2" t="n">
        <f aca="false">IF(AND(E352&lt;&gt;"",G352&lt;&gt;"",J352&gt;0),IF(I352&gt;=Inputs!$B$6,1,0),0)</f>
        <v>0</v>
      </c>
      <c r="L352" s="5" t="n">
        <v>0</v>
      </c>
      <c r="M352" s="5" t="n">
        <v>370.0843</v>
      </c>
      <c r="N352" s="5" t="n">
        <v>1.88</v>
      </c>
      <c r="O352" s="4" t="s">
        <v>64</v>
      </c>
      <c r="P352" s="2" t="n">
        <f aca="false">IF(K352=1,J352/G352^2,0)</f>
        <v>0</v>
      </c>
      <c r="Q352" s="2" t="n">
        <f aca="false">IF(K352=1,((E352-Result!$B$7*D352)/G352)^2,0)</f>
        <v>0</v>
      </c>
    </row>
    <row r="353" customFormat="false" ht="15" hidden="false" customHeight="false" outlineLevel="0" collapsed="false">
      <c r="A353" s="4" t="s">
        <v>37</v>
      </c>
      <c r="B353" s="4" t="s">
        <v>419</v>
      </c>
      <c r="C353" s="4" t="s">
        <v>63</v>
      </c>
      <c r="D353" s="5" t="n">
        <v>401.0158</v>
      </c>
      <c r="E353" s="5" t="n">
        <v>3.8</v>
      </c>
      <c r="F353" s="5" t="n">
        <v>0.00507765222411142</v>
      </c>
      <c r="G353" s="5" t="n">
        <v>1.2613</v>
      </c>
      <c r="H353" s="2" t="n">
        <f aca="false">D353*F353</f>
        <v>2.03621876877382</v>
      </c>
      <c r="I353" s="2" t="n">
        <f aca="false">IF(G353="","",D353*1000000/Inputs!$B$4^2*Inputs!$B$5/G353)</f>
        <v>1.61567130359148</v>
      </c>
      <c r="J353" s="2" t="n">
        <f aca="false">IF(C353="A",Inputs!$B$7,IF(C353="B",Inputs!$B$8,IF(C353="C",Inputs!$B$9,0)))</f>
        <v>1</v>
      </c>
      <c r="K353" s="2" t="n">
        <f aca="false">IF(AND(E353&lt;&gt;"",G353&lt;&gt;"",J353&gt;0),IF(I353&gt;=Inputs!$B$6,1,0),0)</f>
        <v>0</v>
      </c>
      <c r="L353" s="5" t="n">
        <v>1</v>
      </c>
      <c r="M353" s="5" t="n">
        <v>401.0149</v>
      </c>
      <c r="N353" s="5" t="n">
        <v>2.04</v>
      </c>
      <c r="O353" s="4" t="s">
        <v>64</v>
      </c>
      <c r="P353" s="2" t="n">
        <f aca="false">IF(K353=1,J353/G353^2,0)</f>
        <v>0</v>
      </c>
      <c r="Q353" s="2" t="n">
        <f aca="false">IF(K353=1,((E353-Result!$B$7*D353)/G353)^2,0)</f>
        <v>0</v>
      </c>
    </row>
    <row r="354" customFormat="false" ht="15" hidden="false" customHeight="false" outlineLevel="0" collapsed="false">
      <c r="A354" s="4" t="s">
        <v>37</v>
      </c>
      <c r="B354" s="4" t="s">
        <v>420</v>
      </c>
      <c r="C354" s="4" t="s">
        <v>63</v>
      </c>
      <c r="D354" s="5" t="n">
        <v>391.412</v>
      </c>
      <c r="E354" s="5" t="n">
        <v>3.13</v>
      </c>
      <c r="F354" s="5" t="n">
        <v>0.00507764369054874</v>
      </c>
      <c r="G354" s="5" t="n">
        <v>1.2613</v>
      </c>
      <c r="H354" s="2" t="n">
        <f aca="false">D354*F354</f>
        <v>1.98745067220506</v>
      </c>
      <c r="I354" s="2" t="n">
        <f aca="false">IF(G354="","",D354*1000000/Inputs!$B$4^2*Inputs!$B$5/G354)</f>
        <v>1.57697810480621</v>
      </c>
      <c r="J354" s="2" t="n">
        <f aca="false">IF(C354="A",Inputs!$B$7,IF(C354="B",Inputs!$B$8,IF(C354="C",Inputs!$B$9,0)))</f>
        <v>1</v>
      </c>
      <c r="K354" s="2" t="n">
        <f aca="false">IF(AND(E354&lt;&gt;"",G354&lt;&gt;"",J354&gt;0),IF(I354&gt;=Inputs!$B$6,1,0),0)</f>
        <v>0</v>
      </c>
      <c r="L354" s="5" t="n">
        <v>0</v>
      </c>
      <c r="M354" s="5" t="n">
        <v>391.4116</v>
      </c>
      <c r="N354" s="5" t="n">
        <v>1.99</v>
      </c>
      <c r="O354" s="4" t="s">
        <v>64</v>
      </c>
      <c r="P354" s="2" t="n">
        <f aca="false">IF(K354=1,J354/G354^2,0)</f>
        <v>0</v>
      </c>
      <c r="Q354" s="2" t="n">
        <f aca="false">IF(K354=1,((E354-Result!$B$7*D354)/G354)^2,0)</f>
        <v>0</v>
      </c>
    </row>
    <row r="355" customFormat="false" ht="15" hidden="false" customHeight="false" outlineLevel="0" collapsed="false">
      <c r="A355" s="4" t="s">
        <v>37</v>
      </c>
      <c r="B355" s="4" t="s">
        <v>421</v>
      </c>
      <c r="C355" s="4" t="s">
        <v>63</v>
      </c>
      <c r="D355" s="5" t="n">
        <v>331.2777</v>
      </c>
      <c r="E355" s="5" t="n">
        <v>0.52</v>
      </c>
      <c r="F355" s="5" t="n">
        <v>0.00507772571711916</v>
      </c>
      <c r="G355" s="5" t="n">
        <v>1.2613</v>
      </c>
      <c r="H355" s="2" t="n">
        <f aca="false">D355*F355</f>
        <v>1.68213729679809</v>
      </c>
      <c r="I355" s="2" t="n">
        <f aca="false">IF(G355="","",D355*1000000/Inputs!$B$4^2*Inputs!$B$5/G355)</f>
        <v>1.33470021233524</v>
      </c>
      <c r="J355" s="2" t="n">
        <f aca="false">IF(C355="A",Inputs!$B$7,IF(C355="B",Inputs!$B$8,IF(C355="C",Inputs!$B$9,0)))</f>
        <v>1</v>
      </c>
      <c r="K355" s="2" t="n">
        <f aca="false">IF(AND(E355&lt;&gt;"",G355&lt;&gt;"",J355&gt;0),IF(I355&gt;=Inputs!$B$6,1,0),0)</f>
        <v>0</v>
      </c>
      <c r="L355" s="5" t="n">
        <v>1</v>
      </c>
      <c r="M355" s="5" t="n">
        <v>331.2768</v>
      </c>
      <c r="N355" s="5" t="n">
        <v>1.68</v>
      </c>
      <c r="O355" s="4" t="s">
        <v>64</v>
      </c>
      <c r="P355" s="2" t="n">
        <f aca="false">IF(K355=1,J355/G355^2,0)</f>
        <v>0</v>
      </c>
      <c r="Q355" s="2" t="n">
        <f aca="false">IF(K355=1,((E355-Result!$B$7*D355)/G355)^2,0)</f>
        <v>0</v>
      </c>
    </row>
    <row r="356" customFormat="false" ht="15" hidden="false" customHeight="false" outlineLevel="0" collapsed="false">
      <c r="A356" s="4" t="s">
        <v>37</v>
      </c>
      <c r="B356" s="4" t="s">
        <v>422</v>
      </c>
      <c r="C356" s="4" t="s">
        <v>63</v>
      </c>
      <c r="D356" s="5" t="n">
        <v>340.8804</v>
      </c>
      <c r="E356" s="5" t="n">
        <v>1.19</v>
      </c>
      <c r="F356" s="5" t="n">
        <v>0.00507773360123327</v>
      </c>
      <c r="G356" s="5" t="n">
        <v>1.2613</v>
      </c>
      <c r="H356" s="2" t="n">
        <f aca="false">D356*F356</f>
        <v>1.73089986108184</v>
      </c>
      <c r="I356" s="2" t="n">
        <f aca="false">IF(G356="","",D356*1000000/Inputs!$B$4^2*Inputs!$B$5/G356)</f>
        <v>1.37338897927908</v>
      </c>
      <c r="J356" s="2" t="n">
        <f aca="false">IF(C356="A",Inputs!$B$7,IF(C356="B",Inputs!$B$8,IF(C356="C",Inputs!$B$9,0)))</f>
        <v>1</v>
      </c>
      <c r="K356" s="2" t="n">
        <f aca="false">IF(AND(E356&lt;&gt;"",G356&lt;&gt;"",J356&gt;0),IF(I356&gt;=Inputs!$B$6,1,0),0)</f>
        <v>0</v>
      </c>
      <c r="L356" s="5" t="n">
        <v>0</v>
      </c>
      <c r="M356" s="5" t="n">
        <v>340.8801</v>
      </c>
      <c r="N356" s="5" t="n">
        <v>1.73</v>
      </c>
      <c r="O356" s="4" t="s">
        <v>64</v>
      </c>
      <c r="P356" s="2" t="n">
        <f aca="false">IF(K356=1,J356/G356^2,0)</f>
        <v>0</v>
      </c>
      <c r="Q356" s="2" t="n">
        <f aca="false">IF(K356=1,((E356-Result!$B$7*D356)/G356)^2,0)</f>
        <v>0</v>
      </c>
    </row>
    <row r="357" customFormat="false" ht="15" hidden="false" customHeight="false" outlineLevel="0" collapsed="false">
      <c r="A357" s="4" t="s">
        <v>37</v>
      </c>
      <c r="B357" s="4" t="s">
        <v>423</v>
      </c>
      <c r="C357" s="4" t="s">
        <v>63</v>
      </c>
      <c r="D357" s="5" t="n">
        <v>375.1652</v>
      </c>
      <c r="E357" s="5" t="n">
        <v>2.24</v>
      </c>
      <c r="F357" s="5" t="n">
        <v>0.00507764240922036</v>
      </c>
      <c r="G357" s="5" t="n">
        <v>1.2613</v>
      </c>
      <c r="H357" s="2" t="n">
        <f aca="false">D357*F357</f>
        <v>1.90495472998364</v>
      </c>
      <c r="I357" s="2" t="n">
        <f aca="false">IF(G357="","",D357*1000000/Inputs!$B$4^2*Inputs!$B$5/G357)</f>
        <v>1.51152061276927</v>
      </c>
      <c r="J357" s="2" t="n">
        <f aca="false">IF(C357="A",Inputs!$B$7,IF(C357="B",Inputs!$B$8,IF(C357="C",Inputs!$B$9,0)))</f>
        <v>1</v>
      </c>
      <c r="K357" s="2" t="n">
        <f aca="false">IF(AND(E357&lt;&gt;"",G357&lt;&gt;"",J357&gt;0),IF(I357&gt;=Inputs!$B$6,1,0),0)</f>
        <v>0</v>
      </c>
      <c r="L357" s="5" t="n">
        <v>1</v>
      </c>
      <c r="M357" s="5" t="n">
        <v>375.1641</v>
      </c>
      <c r="N357" s="5" t="n">
        <v>1.9</v>
      </c>
      <c r="O357" s="4" t="s">
        <v>64</v>
      </c>
      <c r="P357" s="2" t="n">
        <f aca="false">IF(K357=1,J357/G357^2,0)</f>
        <v>0</v>
      </c>
      <c r="Q357" s="2" t="n">
        <f aca="false">IF(K357=1,((E357-Result!$B$7*D357)/G357)^2,0)</f>
        <v>0</v>
      </c>
    </row>
    <row r="358" customFormat="false" ht="15" hidden="false" customHeight="false" outlineLevel="0" collapsed="false">
      <c r="A358" s="4" t="s">
        <v>37</v>
      </c>
      <c r="B358" s="4" t="s">
        <v>424</v>
      </c>
      <c r="C358" s="4" t="s">
        <v>63</v>
      </c>
      <c r="D358" s="5" t="n">
        <v>390.0911</v>
      </c>
      <c r="E358" s="5" t="n">
        <v>2.63</v>
      </c>
      <c r="F358" s="5" t="n">
        <v>0.00507774415700339</v>
      </c>
      <c r="G358" s="5" t="n">
        <v>1.2613</v>
      </c>
      <c r="H358" s="2" t="n">
        <f aca="false">D358*F358</f>
        <v>1.98078280372403</v>
      </c>
      <c r="I358" s="2" t="n">
        <f aca="false">IF(G358="","",D358*1000000/Inputs!$B$4^2*Inputs!$B$5/G358)</f>
        <v>1.57165626904584</v>
      </c>
      <c r="J358" s="2" t="n">
        <f aca="false">IF(C358="A",Inputs!$B$7,IF(C358="B",Inputs!$B$8,IF(C358="C",Inputs!$B$9,0)))</f>
        <v>1</v>
      </c>
      <c r="K358" s="2" t="n">
        <f aca="false">IF(AND(E358&lt;&gt;"",G358&lt;&gt;"",J358&gt;0),IF(I358&gt;=Inputs!$B$6,1,0),0)</f>
        <v>0</v>
      </c>
      <c r="L358" s="5" t="n">
        <v>1</v>
      </c>
      <c r="M358" s="5" t="n">
        <v>390.0903</v>
      </c>
      <c r="N358" s="5" t="n">
        <v>1.98</v>
      </c>
      <c r="O358" s="4" t="s">
        <v>64</v>
      </c>
      <c r="P358" s="2" t="n">
        <f aca="false">IF(K358=1,J358/G358^2,0)</f>
        <v>0</v>
      </c>
      <c r="Q358" s="2" t="n">
        <f aca="false">IF(K358=1,((E358-Result!$B$7*D358)/G358)^2,0)</f>
        <v>0</v>
      </c>
    </row>
    <row r="359" customFormat="false" ht="15" hidden="false" customHeight="false" outlineLevel="0" collapsed="false">
      <c r="A359" s="4" t="s">
        <v>37</v>
      </c>
      <c r="B359" s="4" t="s">
        <v>425</v>
      </c>
      <c r="C359" s="4" t="s">
        <v>63</v>
      </c>
      <c r="D359" s="5" t="n">
        <v>152.6814</v>
      </c>
      <c r="E359" s="5" t="n">
        <v>1.64</v>
      </c>
      <c r="F359" s="5" t="n">
        <v>0.00507753768150404</v>
      </c>
      <c r="G359" s="5" t="n">
        <v>1.2613</v>
      </c>
      <c r="H359" s="2" t="n">
        <f aca="false">D359*F359</f>
        <v>0.775245561764791</v>
      </c>
      <c r="I359" s="2" t="n">
        <f aca="false">IF(G359="","",D359*1000000/Inputs!$B$4^2*Inputs!$B$5/G359)</f>
        <v>0.615145230118543</v>
      </c>
      <c r="J359" s="2" t="n">
        <f aca="false">IF(C359="A",Inputs!$B$7,IF(C359="B",Inputs!$B$8,IF(C359="C",Inputs!$B$9,0)))</f>
        <v>1</v>
      </c>
      <c r="K359" s="2" t="n">
        <f aca="false">IF(AND(E359&lt;&gt;"",G359&lt;&gt;"",J359&gt;0),IF(I359&gt;=Inputs!$B$6,1,0),0)</f>
        <v>0</v>
      </c>
      <c r="L359" s="5" t="n">
        <v>1</v>
      </c>
      <c r="M359" s="5" t="n">
        <v>152.6809</v>
      </c>
      <c r="N359" s="5" t="n">
        <v>0.78</v>
      </c>
      <c r="O359" s="4" t="s">
        <v>64</v>
      </c>
      <c r="P359" s="2" t="n">
        <f aca="false">IF(K359=1,J359/G359^2,0)</f>
        <v>0</v>
      </c>
      <c r="Q359" s="2" t="n">
        <f aca="false">IF(K359=1,((E359-Result!$B$7*D359)/G359)^2,0)</f>
        <v>0</v>
      </c>
    </row>
    <row r="360" customFormat="false" ht="15" hidden="false" customHeight="false" outlineLevel="0" collapsed="false">
      <c r="A360" s="4" t="s">
        <v>37</v>
      </c>
      <c r="B360" s="4" t="s">
        <v>426</v>
      </c>
      <c r="C360" s="4" t="s">
        <v>63</v>
      </c>
      <c r="D360" s="5" t="n">
        <v>188.3935</v>
      </c>
      <c r="E360" s="5" t="n">
        <v>-2.12</v>
      </c>
      <c r="F360" s="5" t="n">
        <v>0.00507763949781796</v>
      </c>
      <c r="G360" s="5" t="n">
        <v>1.2613</v>
      </c>
      <c r="H360" s="2" t="n">
        <f aca="false">D360*F360</f>
        <v>0.956594276732168</v>
      </c>
      <c r="I360" s="2" t="n">
        <f aca="false">IF(G360="","",D360*1000000/Inputs!$B$4^2*Inputs!$B$5/G360)</f>
        <v>0.759027379303162</v>
      </c>
      <c r="J360" s="2" t="n">
        <f aca="false">IF(C360="A",Inputs!$B$7,IF(C360="B",Inputs!$B$8,IF(C360="C",Inputs!$B$9,0)))</f>
        <v>1</v>
      </c>
      <c r="K360" s="2" t="n">
        <f aca="false">IF(AND(E360&lt;&gt;"",G360&lt;&gt;"",J360&gt;0),IF(I360&gt;=Inputs!$B$6,1,0),0)</f>
        <v>0</v>
      </c>
      <c r="L360" s="5" t="n">
        <v>1</v>
      </c>
      <c r="M360" s="5" t="n">
        <v>188.393</v>
      </c>
      <c r="N360" s="5" t="n">
        <v>0.96</v>
      </c>
      <c r="O360" s="4" t="s">
        <v>64</v>
      </c>
      <c r="P360" s="2" t="n">
        <f aca="false">IF(K360=1,J360/G360^2,0)</f>
        <v>0</v>
      </c>
      <c r="Q360" s="2" t="n">
        <f aca="false">IF(K360=1,((E360-Result!$B$7*D360)/G360)^2,0)</f>
        <v>0</v>
      </c>
    </row>
    <row r="361" customFormat="false" ht="15" hidden="false" customHeight="false" outlineLevel="0" collapsed="false">
      <c r="A361" s="4" t="s">
        <v>37</v>
      </c>
      <c r="B361" s="4" t="s">
        <v>427</v>
      </c>
      <c r="C361" s="4" t="s">
        <v>63</v>
      </c>
      <c r="D361" s="5" t="n">
        <v>590.6153</v>
      </c>
      <c r="E361" s="5" t="n">
        <v>3.5</v>
      </c>
      <c r="F361" s="5" t="n">
        <v>0.00507766729269669</v>
      </c>
      <c r="G361" s="5" t="n">
        <v>1.2613</v>
      </c>
      <c r="H361" s="2" t="n">
        <f aca="false">D361*F361</f>
        <v>2.99894799137625</v>
      </c>
      <c r="I361" s="2" t="n">
        <f aca="false">IF(G361="","",D361*1000000/Inputs!$B$4^2*Inputs!$B$5/G361)</f>
        <v>2.37955759267358</v>
      </c>
      <c r="J361" s="2" t="n">
        <f aca="false">IF(C361="A",Inputs!$B$7,IF(C361="B",Inputs!$B$8,IF(C361="C",Inputs!$B$9,0)))</f>
        <v>1</v>
      </c>
      <c r="K361" s="2" t="n">
        <f aca="false">IF(AND(E361&lt;&gt;"",G361&lt;&gt;"",J361&gt;0),IF(I361&gt;=Inputs!$B$6,1,0),0)</f>
        <v>1</v>
      </c>
      <c r="L361" s="5" t="n">
        <v>1</v>
      </c>
      <c r="M361" s="5" t="n">
        <v>590.6149</v>
      </c>
      <c r="N361" s="5" t="n">
        <v>3</v>
      </c>
      <c r="O361" s="4" t="s">
        <v>64</v>
      </c>
      <c r="P361" s="2" t="n">
        <f aca="false">IF(K361=1,J361/G361^2,0)</f>
        <v>0.628583835379576</v>
      </c>
      <c r="Q361" s="2" t="n">
        <f aca="false">IF(K361=1,((E361-Result!$B$7*D361)/G361)^2,0)</f>
        <v>0.166864873766429</v>
      </c>
    </row>
    <row r="362" customFormat="false" ht="15" hidden="false" customHeight="false" outlineLevel="0" collapsed="false">
      <c r="A362" s="4" t="s">
        <v>37</v>
      </c>
      <c r="B362" s="4" t="s">
        <v>428</v>
      </c>
      <c r="C362" s="4" t="s">
        <v>63</v>
      </c>
      <c r="D362" s="5" t="n">
        <v>428.8364</v>
      </c>
      <c r="E362" s="5" t="n">
        <v>-0.4</v>
      </c>
      <c r="F362" s="5" t="n">
        <v>0.00507752379464252</v>
      </c>
      <c r="G362" s="5" t="n">
        <v>1.2613</v>
      </c>
      <c r="H362" s="2" t="n">
        <f aca="false">D362*F362</f>
        <v>2.17742702500884</v>
      </c>
      <c r="I362" s="2" t="n">
        <f aca="false">IF(G362="","",D362*1000000/Inputs!$B$4^2*Inputs!$B$5/G362)</f>
        <v>1.72775901950865</v>
      </c>
      <c r="J362" s="2" t="n">
        <f aca="false">IF(C362="A",Inputs!$B$7,IF(C362="B",Inputs!$B$8,IF(C362="C",Inputs!$B$9,0)))</f>
        <v>1</v>
      </c>
      <c r="K362" s="2" t="n">
        <f aca="false">IF(AND(E362&lt;&gt;"",G362&lt;&gt;"",J362&gt;0),IF(I362&gt;=Inputs!$B$6,1,0),0)</f>
        <v>0</v>
      </c>
      <c r="L362" s="5" t="n">
        <v>1</v>
      </c>
      <c r="M362" s="5" t="n">
        <v>428.8357</v>
      </c>
      <c r="N362" s="5" t="n">
        <v>2.18</v>
      </c>
      <c r="O362" s="4" t="s">
        <v>64</v>
      </c>
      <c r="P362" s="2" t="n">
        <f aca="false">IF(K362=1,J362/G362^2,0)</f>
        <v>0</v>
      </c>
      <c r="Q362" s="2" t="n">
        <f aca="false">IF(K362=1,((E362-Result!$B$7*D362)/G362)^2,0)</f>
        <v>0</v>
      </c>
    </row>
    <row r="363" customFormat="false" ht="15" hidden="false" customHeight="false" outlineLevel="0" collapsed="false">
      <c r="A363" s="4" t="s">
        <v>37</v>
      </c>
      <c r="B363" s="4" t="s">
        <v>429</v>
      </c>
      <c r="C363" s="4" t="s">
        <v>63</v>
      </c>
      <c r="D363" s="5" t="n">
        <v>198.6684</v>
      </c>
      <c r="E363" s="5" t="n">
        <v>-0.94</v>
      </c>
      <c r="F363" s="5" t="n">
        <v>0.00507758916249029</v>
      </c>
      <c r="G363" s="5" t="n">
        <v>1.2613</v>
      </c>
      <c r="H363" s="2" t="n">
        <f aca="false">D363*F363</f>
        <v>1.00875651476928</v>
      </c>
      <c r="I363" s="2" t="n">
        <f aca="false">IF(G363="","",D363*1000000/Inputs!$B$4^2*Inputs!$B$5/G363)</f>
        <v>0.800424404251486</v>
      </c>
      <c r="J363" s="2" t="n">
        <f aca="false">IF(C363="A",Inputs!$B$7,IF(C363="B",Inputs!$B$8,IF(C363="C",Inputs!$B$9,0)))</f>
        <v>1</v>
      </c>
      <c r="K363" s="2" t="n">
        <f aca="false">IF(AND(E363&lt;&gt;"",G363&lt;&gt;"",J363&gt;0),IF(I363&gt;=Inputs!$B$6,1,0),0)</f>
        <v>0</v>
      </c>
      <c r="L363" s="5" t="n">
        <v>1</v>
      </c>
      <c r="M363" s="5" t="n">
        <v>198.6675</v>
      </c>
      <c r="N363" s="5" t="n">
        <v>1.01</v>
      </c>
      <c r="O363" s="4" t="s">
        <v>64</v>
      </c>
      <c r="P363" s="2" t="n">
        <f aca="false">IF(K363=1,J363/G363^2,0)</f>
        <v>0</v>
      </c>
      <c r="Q363" s="2" t="n">
        <f aca="false">IF(K363=1,((E363-Result!$B$7*D363)/G363)^2,0)</f>
        <v>0</v>
      </c>
    </row>
    <row r="364" customFormat="false" ht="15" hidden="false" customHeight="false" outlineLevel="0" collapsed="false">
      <c r="A364" s="4" t="s">
        <v>37</v>
      </c>
      <c r="B364" s="4" t="s">
        <v>430</v>
      </c>
      <c r="C364" s="4" t="s">
        <v>63</v>
      </c>
      <c r="D364" s="5" t="n">
        <v>202.9275</v>
      </c>
      <c r="E364" s="5" t="n">
        <v>2.22</v>
      </c>
      <c r="F364" s="5" t="n">
        <v>0.00507773260037624</v>
      </c>
      <c r="G364" s="5" t="n">
        <v>1.2613</v>
      </c>
      <c r="H364" s="2" t="n">
        <f aca="false">D364*F364</f>
        <v>1.03041158226285</v>
      </c>
      <c r="I364" s="2" t="n">
        <f aca="false">IF(G364="","",D364*1000000/Inputs!$B$4^2*Inputs!$B$5/G364)</f>
        <v>0.817584091348918</v>
      </c>
      <c r="J364" s="2" t="n">
        <f aca="false">IF(C364="A",Inputs!$B$7,IF(C364="B",Inputs!$B$8,IF(C364="C",Inputs!$B$9,0)))</f>
        <v>1</v>
      </c>
      <c r="K364" s="2" t="n">
        <f aca="false">IF(AND(E364&lt;&gt;"",G364&lt;&gt;"",J364&gt;0),IF(I364&gt;=Inputs!$B$6,1,0),0)</f>
        <v>0</v>
      </c>
      <c r="L364" s="5" t="n">
        <v>1</v>
      </c>
      <c r="M364" s="5" t="n">
        <v>202.9277</v>
      </c>
      <c r="N364" s="5" t="n">
        <v>1.03</v>
      </c>
      <c r="O364" s="4" t="s">
        <v>64</v>
      </c>
      <c r="P364" s="2" t="n">
        <f aca="false">IF(K364=1,J364/G364^2,0)</f>
        <v>0</v>
      </c>
      <c r="Q364" s="2" t="n">
        <f aca="false">IF(K364=1,((E364-Result!$B$7*D364)/G364)^2,0)</f>
        <v>0</v>
      </c>
    </row>
    <row r="365" customFormat="false" ht="15" hidden="false" customHeight="false" outlineLevel="0" collapsed="false">
      <c r="A365" s="4" t="s">
        <v>37</v>
      </c>
      <c r="B365" s="4" t="s">
        <v>431</v>
      </c>
      <c r="C365" s="4" t="s">
        <v>63</v>
      </c>
      <c r="D365" s="5" t="n">
        <v>439.0868</v>
      </c>
      <c r="E365" s="5" t="n">
        <v>2.25</v>
      </c>
      <c r="F365" s="5" t="n">
        <v>0.00507758280188316</v>
      </c>
      <c r="G365" s="5" t="n">
        <v>1.2613</v>
      </c>
      <c r="H365" s="2" t="n">
        <f aca="false">D365*F365</f>
        <v>2.22949958421391</v>
      </c>
      <c r="I365" s="2" t="n">
        <f aca="false">IF(G365="","",D365*1000000/Inputs!$B$4^2*Inputs!$B$5/G365)</f>
        <v>1.76905733526163</v>
      </c>
      <c r="J365" s="2" t="n">
        <f aca="false">IF(C365="A",Inputs!$B$7,IF(C365="B",Inputs!$B$8,IF(C365="C",Inputs!$B$9,0)))</f>
        <v>1</v>
      </c>
      <c r="K365" s="2" t="n">
        <f aca="false">IF(AND(E365&lt;&gt;"",G365&lt;&gt;"",J365&gt;0),IF(I365&gt;=Inputs!$B$6,1,0),0)</f>
        <v>0</v>
      </c>
      <c r="L365" s="5" t="n">
        <v>1</v>
      </c>
      <c r="M365" s="5" t="n">
        <v>439.0856</v>
      </c>
      <c r="N365" s="5" t="n">
        <v>2.23</v>
      </c>
      <c r="O365" s="4" t="s">
        <v>64</v>
      </c>
      <c r="P365" s="2" t="n">
        <f aca="false">IF(K365=1,J365/G365^2,0)</f>
        <v>0</v>
      </c>
      <c r="Q365" s="2" t="n">
        <f aca="false">IF(K365=1,((E365-Result!$B$7*D365)/G365)^2,0)</f>
        <v>0</v>
      </c>
    </row>
    <row r="366" customFormat="false" ht="15" hidden="false" customHeight="false" outlineLevel="0" collapsed="false">
      <c r="A366" s="4" t="s">
        <v>37</v>
      </c>
      <c r="B366" s="4" t="s">
        <v>432</v>
      </c>
      <c r="C366" s="4" t="s">
        <v>63</v>
      </c>
      <c r="D366" s="5" t="n">
        <v>261.8586</v>
      </c>
      <c r="E366" s="5" t="n">
        <v>2.02</v>
      </c>
      <c r="F366" s="5" t="n">
        <v>0.00507742038128309</v>
      </c>
      <c r="G366" s="5" t="n">
        <v>1.2613</v>
      </c>
      <c r="H366" s="2" t="n">
        <f aca="false">D366*F366</f>
        <v>1.32956619265426</v>
      </c>
      <c r="I366" s="2" t="n">
        <f aca="false">IF(G366="","",D366*1000000/Inputs!$B$4^2*Inputs!$B$5/G366)</f>
        <v>1.05501435509184</v>
      </c>
      <c r="J366" s="2" t="n">
        <f aca="false">IF(C366="A",Inputs!$B$7,IF(C366="B",Inputs!$B$8,IF(C366="C",Inputs!$B$9,0)))</f>
        <v>1</v>
      </c>
      <c r="K366" s="2" t="n">
        <f aca="false">IF(AND(E366&lt;&gt;"",G366&lt;&gt;"",J366&gt;0),IF(I366&gt;=Inputs!$B$6,1,0),0)</f>
        <v>0</v>
      </c>
      <c r="L366" s="5" t="n">
        <v>1</v>
      </c>
      <c r="M366" s="5" t="n">
        <v>261.8578</v>
      </c>
      <c r="N366" s="5" t="n">
        <v>1.33</v>
      </c>
      <c r="O366" s="4" t="s">
        <v>64</v>
      </c>
      <c r="P366" s="2" t="n">
        <f aca="false">IF(K366=1,J366/G366^2,0)</f>
        <v>0</v>
      </c>
      <c r="Q366" s="2" t="n">
        <f aca="false">IF(K366=1,((E366-Result!$B$7*D366)/G366)^2,0)</f>
        <v>0</v>
      </c>
    </row>
    <row r="367" customFormat="false" ht="15" hidden="false" customHeight="false" outlineLevel="0" collapsed="false">
      <c r="A367" s="4" t="s">
        <v>37</v>
      </c>
      <c r="B367" s="4" t="s">
        <v>433</v>
      </c>
      <c r="C367" s="4" t="s">
        <v>63</v>
      </c>
      <c r="D367" s="5" t="n">
        <v>122.4544</v>
      </c>
      <c r="E367" s="5" t="n">
        <v>0.45</v>
      </c>
      <c r="F367" s="5" t="n">
        <v>0.00507739174758948</v>
      </c>
      <c r="G367" s="5" t="n">
        <v>1.2613</v>
      </c>
      <c r="H367" s="2" t="n">
        <f aca="false">D367*F367</f>
        <v>0.621748960016022</v>
      </c>
      <c r="I367" s="2" t="n">
        <f aca="false">IF(G367="","",D367*1000000/Inputs!$B$4^2*Inputs!$B$5/G367)</f>
        <v>0.493362256745276</v>
      </c>
      <c r="J367" s="2" t="n">
        <f aca="false">IF(C367="A",Inputs!$B$7,IF(C367="B",Inputs!$B$8,IF(C367="C",Inputs!$B$9,0)))</f>
        <v>1</v>
      </c>
      <c r="K367" s="2" t="n">
        <f aca="false">IF(AND(E367&lt;&gt;"",G367&lt;&gt;"",J367&gt;0),IF(I367&gt;=Inputs!$B$6,1,0),0)</f>
        <v>0</v>
      </c>
      <c r="L367" s="5" t="n">
        <v>0</v>
      </c>
      <c r="M367" s="5" t="n">
        <v>122.4537</v>
      </c>
      <c r="N367" s="5" t="n">
        <v>0.62</v>
      </c>
      <c r="O367" s="4" t="s">
        <v>64</v>
      </c>
      <c r="P367" s="2" t="n">
        <f aca="false">IF(K367=1,J367/G367^2,0)</f>
        <v>0</v>
      </c>
      <c r="Q367" s="2" t="n">
        <f aca="false">IF(K367=1,((E367-Result!$B$7*D367)/G367)^2,0)</f>
        <v>0</v>
      </c>
    </row>
    <row r="368" customFormat="false" ht="15" hidden="false" customHeight="false" outlineLevel="0" collapsed="false">
      <c r="A368" s="4" t="s">
        <v>37</v>
      </c>
      <c r="B368" s="4" t="s">
        <v>434</v>
      </c>
      <c r="C368" s="4" t="s">
        <v>63</v>
      </c>
      <c r="D368" s="5" t="n">
        <v>495.2554</v>
      </c>
      <c r="E368" s="5" t="n">
        <v>2.34</v>
      </c>
      <c r="F368" s="5" t="n">
        <v>0.00507770077972171</v>
      </c>
      <c r="G368" s="5" t="n">
        <v>1.2613</v>
      </c>
      <c r="H368" s="2" t="n">
        <f aca="false">D368*F368</f>
        <v>2.51475873074139</v>
      </c>
      <c r="I368" s="2" t="n">
        <f aca="false">IF(G368="","",D368*1000000/Inputs!$B$4^2*Inputs!$B$5/G368)</f>
        <v>1.99535763361124</v>
      </c>
      <c r="J368" s="2" t="n">
        <f aca="false">IF(C368="A",Inputs!$B$7,IF(C368="B",Inputs!$B$8,IF(C368="C",Inputs!$B$9,0)))</f>
        <v>1</v>
      </c>
      <c r="K368" s="2" t="n">
        <f aca="false">IF(AND(E368&lt;&gt;"",G368&lt;&gt;"",J368&gt;0),IF(I368&gt;=Inputs!$B$6,1,0),0)</f>
        <v>0</v>
      </c>
      <c r="L368" s="5" t="n">
        <v>1</v>
      </c>
      <c r="M368" s="5" t="n">
        <v>495.2552</v>
      </c>
      <c r="N368" s="5" t="n">
        <v>2.52</v>
      </c>
      <c r="O368" s="4" t="s">
        <v>64</v>
      </c>
      <c r="P368" s="2" t="n">
        <f aca="false">IF(K368=1,J368/G368^2,0)</f>
        <v>0</v>
      </c>
      <c r="Q368" s="2" t="n">
        <f aca="false">IF(K368=1,((E368-Result!$B$7*D368)/G368)^2,0)</f>
        <v>0</v>
      </c>
    </row>
    <row r="369" customFormat="false" ht="15" hidden="false" customHeight="false" outlineLevel="0" collapsed="false">
      <c r="A369" s="4" t="s">
        <v>37</v>
      </c>
      <c r="B369" s="4" t="s">
        <v>435</v>
      </c>
      <c r="C369" s="4" t="s">
        <v>63</v>
      </c>
      <c r="D369" s="5" t="n">
        <v>320.11</v>
      </c>
      <c r="E369" s="5" t="n">
        <v>0.75</v>
      </c>
      <c r="F369" s="5" t="n">
        <v>0.00507758731434471</v>
      </c>
      <c r="G369" s="5" t="n">
        <v>1.2613</v>
      </c>
      <c r="H369" s="2" t="n">
        <f aca="false">D369*F369</f>
        <v>1.62538647519489</v>
      </c>
      <c r="I369" s="2" t="n">
        <f aca="false">IF(G369="","",D369*1000000/Inputs!$B$4^2*Inputs!$B$5/G369)</f>
        <v>1.28970614372967</v>
      </c>
      <c r="J369" s="2" t="n">
        <f aca="false">IF(C369="A",Inputs!$B$7,IF(C369="B",Inputs!$B$8,IF(C369="C",Inputs!$B$9,0)))</f>
        <v>1</v>
      </c>
      <c r="K369" s="2" t="n">
        <f aca="false">IF(AND(E369&lt;&gt;"",G369&lt;&gt;"",J369&gt;0),IF(I369&gt;=Inputs!$B$6,1,0),0)</f>
        <v>0</v>
      </c>
      <c r="L369" s="5" t="n">
        <v>1</v>
      </c>
      <c r="M369" s="5" t="n">
        <v>320.1092</v>
      </c>
      <c r="N369" s="5" t="n">
        <v>1.63</v>
      </c>
      <c r="O369" s="4" t="s">
        <v>64</v>
      </c>
      <c r="P369" s="2" t="n">
        <f aca="false">IF(K369=1,J369/G369^2,0)</f>
        <v>0</v>
      </c>
      <c r="Q369" s="2" t="n">
        <f aca="false">IF(K369=1,((E369-Result!$B$7*D369)/G369)^2,0)</f>
        <v>0</v>
      </c>
    </row>
    <row r="370" customFormat="false" ht="15" hidden="false" customHeight="false" outlineLevel="0" collapsed="false">
      <c r="A370" s="4" t="s">
        <v>37</v>
      </c>
      <c r="B370" s="4" t="s">
        <v>436</v>
      </c>
      <c r="C370" s="4" t="s">
        <v>63</v>
      </c>
      <c r="D370" s="5" t="n">
        <v>272.4271</v>
      </c>
      <c r="E370" s="5" t="n">
        <v>2.6</v>
      </c>
      <c r="F370" s="5" t="n">
        <v>0.00507742640441436</v>
      </c>
      <c r="G370" s="5" t="n">
        <v>1.2613</v>
      </c>
      <c r="H370" s="2" t="n">
        <f aca="false">D370*F370</f>
        <v>1.38322855081803</v>
      </c>
      <c r="I370" s="2" t="n">
        <f aca="false">IF(G370="","",D370*1000000/Inputs!$B$4^2*Inputs!$B$5/G370)</f>
        <v>1.09759427880559</v>
      </c>
      <c r="J370" s="2" t="n">
        <f aca="false">IF(C370="A",Inputs!$B$7,IF(C370="B",Inputs!$B$8,IF(C370="C",Inputs!$B$9,0)))</f>
        <v>1</v>
      </c>
      <c r="K370" s="2" t="n">
        <f aca="false">IF(AND(E370&lt;&gt;"",G370&lt;&gt;"",J370&gt;0),IF(I370&gt;=Inputs!$B$6,1,0),0)</f>
        <v>0</v>
      </c>
      <c r="L370" s="5" t="n">
        <v>1</v>
      </c>
      <c r="M370" s="5" t="n">
        <v>272.4262</v>
      </c>
      <c r="N370" s="5" t="n">
        <v>1.38</v>
      </c>
      <c r="O370" s="4" t="s">
        <v>64</v>
      </c>
      <c r="P370" s="2" t="n">
        <f aca="false">IF(K370=1,J370/G370^2,0)</f>
        <v>0</v>
      </c>
      <c r="Q370" s="2" t="n">
        <f aca="false">IF(K370=1,((E370-Result!$B$7*D370)/G370)^2,0)</f>
        <v>0</v>
      </c>
    </row>
    <row r="371" customFormat="false" ht="15" hidden="false" customHeight="false" outlineLevel="0" collapsed="false">
      <c r="A371" s="4" t="s">
        <v>37</v>
      </c>
      <c r="B371" s="4" t="s">
        <v>437</v>
      </c>
      <c r="C371" s="4" t="s">
        <v>63</v>
      </c>
      <c r="D371" s="5" t="n">
        <v>311.7465</v>
      </c>
      <c r="E371" s="5" t="n">
        <v>0.72</v>
      </c>
      <c r="F371" s="5" t="n">
        <v>0.00507756975575966</v>
      </c>
      <c r="G371" s="5" t="n">
        <v>1.2613</v>
      </c>
      <c r="H371" s="2" t="n">
        <f aca="false">D371*F371</f>
        <v>1.58291459986393</v>
      </c>
      <c r="I371" s="2" t="n">
        <f aca="false">IF(G371="","",D371*1000000/Inputs!$B$4^2*Inputs!$B$5/G371)</f>
        <v>1.25601004759683</v>
      </c>
      <c r="J371" s="2" t="n">
        <f aca="false">IF(C371="A",Inputs!$B$7,IF(C371="B",Inputs!$B$8,IF(C371="C",Inputs!$B$9,0)))</f>
        <v>1</v>
      </c>
      <c r="K371" s="2" t="n">
        <f aca="false">IF(AND(E371&lt;&gt;"",G371&lt;&gt;"",J371&gt;0),IF(I371&gt;=Inputs!$B$6,1,0),0)</f>
        <v>0</v>
      </c>
      <c r="L371" s="5" t="n">
        <v>1</v>
      </c>
      <c r="M371" s="5" t="n">
        <v>311.7455</v>
      </c>
      <c r="N371" s="5" t="n">
        <v>1.58</v>
      </c>
      <c r="O371" s="4" t="s">
        <v>64</v>
      </c>
      <c r="P371" s="2" t="n">
        <f aca="false">IF(K371=1,J371/G371^2,0)</f>
        <v>0</v>
      </c>
      <c r="Q371" s="2" t="n">
        <f aca="false">IF(K371=1,((E371-Result!$B$7*D371)/G371)^2,0)</f>
        <v>0</v>
      </c>
    </row>
    <row r="372" customFormat="false" ht="15" hidden="false" customHeight="false" outlineLevel="0" collapsed="false">
      <c r="A372" s="4" t="s">
        <v>37</v>
      </c>
      <c r="B372" s="4" t="s">
        <v>438</v>
      </c>
      <c r="C372" s="4" t="s">
        <v>63</v>
      </c>
      <c r="D372" s="5" t="n">
        <v>236.9651</v>
      </c>
      <c r="E372" s="5" t="n">
        <v>2.57</v>
      </c>
      <c r="F372" s="5" t="n">
        <v>0.00507743065906406</v>
      </c>
      <c r="G372" s="5" t="n">
        <v>1.2613</v>
      </c>
      <c r="H372" s="2" t="n">
        <f aca="false">D372*F372</f>
        <v>1.20317386386818</v>
      </c>
      <c r="I372" s="2" t="n">
        <f aca="false">IF(G372="","",D372*1000000/Inputs!$B$4^2*Inputs!$B$5/G372)</f>
        <v>0.954719769202821</v>
      </c>
      <c r="J372" s="2" t="n">
        <f aca="false">IF(C372="A",Inputs!$B$7,IF(C372="B",Inputs!$B$8,IF(C372="C",Inputs!$B$9,0)))</f>
        <v>1</v>
      </c>
      <c r="K372" s="2" t="n">
        <f aca="false">IF(AND(E372&lt;&gt;"",G372&lt;&gt;"",J372&gt;0),IF(I372&gt;=Inputs!$B$6,1,0),0)</f>
        <v>0</v>
      </c>
      <c r="L372" s="5" t="n">
        <v>1</v>
      </c>
      <c r="M372" s="5" t="n">
        <v>236.9644</v>
      </c>
      <c r="N372" s="5" t="n">
        <v>1.2</v>
      </c>
      <c r="O372" s="4" t="s">
        <v>64</v>
      </c>
      <c r="P372" s="2" t="n">
        <f aca="false">IF(K372=1,J372/G372^2,0)</f>
        <v>0</v>
      </c>
      <c r="Q372" s="2" t="n">
        <f aca="false">IF(K372=1,((E372-Result!$B$7*D372)/G372)^2,0)</f>
        <v>0</v>
      </c>
    </row>
    <row r="373" customFormat="false" ht="15" hidden="false" customHeight="false" outlineLevel="0" collapsed="false">
      <c r="A373" s="4" t="s">
        <v>37</v>
      </c>
      <c r="B373" s="4" t="s">
        <v>439</v>
      </c>
      <c r="C373" s="4" t="s">
        <v>63</v>
      </c>
      <c r="D373" s="5" t="n">
        <v>456.6711</v>
      </c>
      <c r="E373" s="5" t="n">
        <v>2.97</v>
      </c>
      <c r="F373" s="5" t="n">
        <v>0.00507764504045224</v>
      </c>
      <c r="G373" s="5" t="n">
        <v>1.2613</v>
      </c>
      <c r="H373" s="2" t="n">
        <f aca="false">D373*F373</f>
        <v>2.31881374603287</v>
      </c>
      <c r="I373" s="2" t="n">
        <f aca="false">IF(G373="","",D373*1000000/Inputs!$B$4^2*Inputs!$B$5/G373)</f>
        <v>1.83990354357498</v>
      </c>
      <c r="J373" s="2" t="n">
        <f aca="false">IF(C373="A",Inputs!$B$7,IF(C373="B",Inputs!$B$8,IF(C373="C",Inputs!$B$9,0)))</f>
        <v>1</v>
      </c>
      <c r="K373" s="2" t="n">
        <f aca="false">IF(AND(E373&lt;&gt;"",G373&lt;&gt;"",J373&gt;0),IF(I373&gt;=Inputs!$B$6,1,0),0)</f>
        <v>0</v>
      </c>
      <c r="L373" s="5" t="n">
        <v>1</v>
      </c>
      <c r="M373" s="5" t="n">
        <v>456.67</v>
      </c>
      <c r="N373" s="5" t="n">
        <v>2.32</v>
      </c>
      <c r="O373" s="4" t="s">
        <v>64</v>
      </c>
      <c r="P373" s="2" t="n">
        <f aca="false">IF(K373=1,J373/G373^2,0)</f>
        <v>0</v>
      </c>
      <c r="Q373" s="2" t="n">
        <f aca="false">IF(K373=1,((E373-Result!$B$7*D373)/G373)^2,0)</f>
        <v>0</v>
      </c>
    </row>
    <row r="374" customFormat="false" ht="15" hidden="false" customHeight="false" outlineLevel="0" collapsed="false">
      <c r="A374" s="4" t="s">
        <v>37</v>
      </c>
      <c r="B374" s="4" t="s">
        <v>440</v>
      </c>
      <c r="C374" s="4" t="s">
        <v>63</v>
      </c>
      <c r="D374" s="5" t="n">
        <v>471.0168</v>
      </c>
      <c r="E374" s="5" t="n">
        <v>2.86</v>
      </c>
      <c r="F374" s="5" t="n">
        <v>0.0050775223322436</v>
      </c>
      <c r="G374" s="5" t="n">
        <v>1.2613</v>
      </c>
      <c r="H374" s="2" t="n">
        <f aca="false">D374*F374</f>
        <v>2.39159832086192</v>
      </c>
      <c r="I374" s="2" t="n">
        <f aca="false">IF(G374="","",D374*1000000/Inputs!$B$4^2*Inputs!$B$5/G374)</f>
        <v>1.89770160494795</v>
      </c>
      <c r="J374" s="2" t="n">
        <f aca="false">IF(C374="A",Inputs!$B$7,IF(C374="B",Inputs!$B$8,IF(C374="C",Inputs!$B$9,0)))</f>
        <v>1</v>
      </c>
      <c r="K374" s="2" t="n">
        <f aca="false">IF(AND(E374&lt;&gt;"",G374&lt;&gt;"",J374&gt;0),IF(I374&gt;=Inputs!$B$6,1,0),0)</f>
        <v>0</v>
      </c>
      <c r="L374" s="5" t="n">
        <v>1</v>
      </c>
      <c r="M374" s="5" t="n">
        <v>471.0142</v>
      </c>
      <c r="N374" s="5" t="n">
        <v>2.39</v>
      </c>
      <c r="O374" s="4" t="s">
        <v>64</v>
      </c>
      <c r="P374" s="2" t="n">
        <f aca="false">IF(K374=1,J374/G374^2,0)</f>
        <v>0</v>
      </c>
      <c r="Q374" s="2" t="n">
        <f aca="false">IF(K374=1,((E374-Result!$B$7*D374)/G374)^2,0)</f>
        <v>0</v>
      </c>
    </row>
    <row r="375" customFormat="false" ht="15" hidden="false" customHeight="false" outlineLevel="0" collapsed="false">
      <c r="A375" s="4" t="s">
        <v>37</v>
      </c>
      <c r="B375" s="4" t="s">
        <v>441</v>
      </c>
      <c r="C375" s="4" t="s">
        <v>63</v>
      </c>
      <c r="D375" s="5" t="n">
        <v>293.0796</v>
      </c>
      <c r="E375" s="5" t="n">
        <v>0.85</v>
      </c>
      <c r="F375" s="5" t="n">
        <v>0.00507741994485322</v>
      </c>
      <c r="G375" s="5" t="n">
        <v>1.2613</v>
      </c>
      <c r="H375" s="2" t="n">
        <f aca="false">D375*F375</f>
        <v>1.4880882064696</v>
      </c>
      <c r="I375" s="2" t="n">
        <f aca="false">IF(G375="","",D375*1000000/Inputs!$B$4^2*Inputs!$B$5/G375)</f>
        <v>1.18080210153333</v>
      </c>
      <c r="J375" s="2" t="n">
        <f aca="false">IF(C375="A",Inputs!$B$7,IF(C375="B",Inputs!$B$8,IF(C375="C",Inputs!$B$9,0)))</f>
        <v>1</v>
      </c>
      <c r="K375" s="2" t="n">
        <f aca="false">IF(AND(E375&lt;&gt;"",G375&lt;&gt;"",J375&gt;0),IF(I375&gt;=Inputs!$B$6,1,0),0)</f>
        <v>0</v>
      </c>
      <c r="L375" s="5" t="n">
        <v>1</v>
      </c>
      <c r="M375" s="5" t="n">
        <v>293.0793</v>
      </c>
      <c r="N375" s="5" t="n">
        <v>1.49</v>
      </c>
      <c r="O375" s="4" t="s">
        <v>64</v>
      </c>
      <c r="P375" s="2" t="n">
        <f aca="false">IF(K375=1,J375/G375^2,0)</f>
        <v>0</v>
      </c>
      <c r="Q375" s="2" t="n">
        <f aca="false">IF(K375=1,((E375-Result!$B$7*D375)/G375)^2,0)</f>
        <v>0</v>
      </c>
    </row>
    <row r="376" customFormat="false" ht="15" hidden="false" customHeight="false" outlineLevel="0" collapsed="false">
      <c r="A376" s="4" t="s">
        <v>37</v>
      </c>
      <c r="B376" s="4" t="s">
        <v>442</v>
      </c>
      <c r="C376" s="4" t="s">
        <v>63</v>
      </c>
      <c r="D376" s="5" t="n">
        <v>249.3033</v>
      </c>
      <c r="E376" s="5" t="n">
        <v>0.16</v>
      </c>
      <c r="F376" s="5" t="n">
        <v>0.00507752319368432</v>
      </c>
      <c r="G376" s="5" t="n">
        <v>1.2613</v>
      </c>
      <c r="H376" s="2" t="n">
        <f aca="false">D376*F376</f>
        <v>1.26584328801204</v>
      </c>
      <c r="I376" s="2" t="n">
        <f aca="false">IF(G376="","",D376*1000000/Inputs!$B$4^2*Inputs!$B$5/G376)</f>
        <v>1.00442971997776</v>
      </c>
      <c r="J376" s="2" t="n">
        <f aca="false">IF(C376="A",Inputs!$B$7,IF(C376="B",Inputs!$B$8,IF(C376="C",Inputs!$B$9,0)))</f>
        <v>1</v>
      </c>
      <c r="K376" s="2" t="n">
        <f aca="false">IF(AND(E376&lt;&gt;"",G376&lt;&gt;"",J376&gt;0),IF(I376&gt;=Inputs!$B$6,1,0),0)</f>
        <v>0</v>
      </c>
      <c r="L376" s="5" t="n">
        <v>1</v>
      </c>
      <c r="M376" s="5" t="n">
        <v>249.3015</v>
      </c>
      <c r="N376" s="5" t="n">
        <v>1.27</v>
      </c>
      <c r="O376" s="4" t="s">
        <v>64</v>
      </c>
      <c r="P376" s="2" t="n">
        <f aca="false">IF(K376=1,J376/G376^2,0)</f>
        <v>0</v>
      </c>
      <c r="Q376" s="2" t="n">
        <f aca="false">IF(K376=1,((E376-Result!$B$7*D376)/G376)^2,0)</f>
        <v>0</v>
      </c>
    </row>
    <row r="377" customFormat="false" ht="15" hidden="false" customHeight="false" outlineLevel="0" collapsed="false">
      <c r="A377" s="4" t="s">
        <v>37</v>
      </c>
      <c r="B377" s="4" t="s">
        <v>443</v>
      </c>
      <c r="C377" s="4" t="s">
        <v>63</v>
      </c>
      <c r="D377" s="5" t="n">
        <v>320.5339</v>
      </c>
      <c r="E377" s="5" t="n">
        <v>2.46</v>
      </c>
      <c r="F377" s="5" t="n">
        <v>0.0050776474896774</v>
      </c>
      <c r="G377" s="5" t="n">
        <v>1.2613</v>
      </c>
      <c r="H377" s="2" t="n">
        <f aca="false">D377*F377</f>
        <v>1.62755815269151</v>
      </c>
      <c r="I377" s="2" t="n">
        <f aca="false">IF(G377="","",D377*1000000/Inputs!$B$4^2*Inputs!$B$5/G377)</f>
        <v>1.29141401425645</v>
      </c>
      <c r="J377" s="2" t="n">
        <f aca="false">IF(C377="A",Inputs!$B$7,IF(C377="B",Inputs!$B$8,IF(C377="C",Inputs!$B$9,0)))</f>
        <v>1</v>
      </c>
      <c r="K377" s="2" t="n">
        <f aca="false">IF(AND(E377&lt;&gt;"",G377&lt;&gt;"",J377&gt;0),IF(I377&gt;=Inputs!$B$6,1,0),0)</f>
        <v>0</v>
      </c>
      <c r="L377" s="5" t="n">
        <v>1</v>
      </c>
      <c r="M377" s="5" t="n">
        <v>320.5326</v>
      </c>
      <c r="N377" s="5" t="n">
        <v>1.63</v>
      </c>
      <c r="O377" s="4" t="s">
        <v>64</v>
      </c>
      <c r="P377" s="2" t="n">
        <f aca="false">IF(K377=1,J377/G377^2,0)</f>
        <v>0</v>
      </c>
      <c r="Q377" s="2" t="n">
        <f aca="false">IF(K377=1,((E377-Result!$B$7*D377)/G377)^2,0)</f>
        <v>0</v>
      </c>
    </row>
    <row r="378" customFormat="false" ht="15" hidden="false" customHeight="false" outlineLevel="0" collapsed="false">
      <c r="A378" s="4" t="s">
        <v>37</v>
      </c>
      <c r="B378" s="4" t="s">
        <v>444</v>
      </c>
      <c r="C378" s="4" t="s">
        <v>63</v>
      </c>
      <c r="D378" s="5" t="n">
        <v>73.9517</v>
      </c>
      <c r="E378" s="5" t="n">
        <v>0.64</v>
      </c>
      <c r="F378" s="5" t="n">
        <v>0.00507755007607889</v>
      </c>
      <c r="G378" s="5" t="n">
        <v>1.2613</v>
      </c>
      <c r="H378" s="2" t="n">
        <f aca="false">D378*F378</f>
        <v>0.375493459961163</v>
      </c>
      <c r="I378" s="2" t="n">
        <f aca="false">IF(G378="","",D378*1000000/Inputs!$B$4^2*Inputs!$B$5/G378)</f>
        <v>0.297947461276603</v>
      </c>
      <c r="J378" s="2" t="n">
        <f aca="false">IF(C378="A",Inputs!$B$7,IF(C378="B",Inputs!$B$8,IF(C378="C",Inputs!$B$9,0)))</f>
        <v>1</v>
      </c>
      <c r="K378" s="2" t="n">
        <f aca="false">IF(AND(E378&lt;&gt;"",G378&lt;&gt;"",J378&gt;0),IF(I378&gt;=Inputs!$B$6,1,0),0)</f>
        <v>0</v>
      </c>
      <c r="L378" s="5" t="n">
        <v>1</v>
      </c>
      <c r="M378" s="5" t="n">
        <v>73.9516</v>
      </c>
      <c r="N378" s="5" t="n">
        <v>0.38</v>
      </c>
      <c r="O378" s="4" t="s">
        <v>64</v>
      </c>
      <c r="P378" s="2" t="n">
        <f aca="false">IF(K378=1,J378/G378^2,0)</f>
        <v>0</v>
      </c>
      <c r="Q378" s="2" t="n">
        <f aca="false">IF(K378=1,((E378-Result!$B$7*D378)/G378)^2,0)</f>
        <v>0</v>
      </c>
    </row>
    <row r="379" customFormat="false" ht="15" hidden="false" customHeight="false" outlineLevel="0" collapsed="false">
      <c r="A379" s="4" t="s">
        <v>37</v>
      </c>
      <c r="B379" s="4" t="s">
        <v>445</v>
      </c>
      <c r="C379" s="4" t="s">
        <v>63</v>
      </c>
      <c r="D379" s="5" t="n">
        <v>140.2604</v>
      </c>
      <c r="E379" s="5" t="n">
        <v>0.46</v>
      </c>
      <c r="F379" s="5" t="n">
        <v>0.00507742570340491</v>
      </c>
      <c r="G379" s="5" t="n">
        <v>1.2613</v>
      </c>
      <c r="H379" s="2" t="n">
        <f aca="false">D379*F379</f>
        <v>0.712161760129854</v>
      </c>
      <c r="I379" s="2" t="n">
        <f aca="false">IF(G379="","",D379*1000000/Inputs!$B$4^2*Inputs!$B$5/G379)</f>
        <v>0.565101682552812</v>
      </c>
      <c r="J379" s="2" t="n">
        <f aca="false">IF(C379="A",Inputs!$B$7,IF(C379="B",Inputs!$B$8,IF(C379="C",Inputs!$B$9,0)))</f>
        <v>1</v>
      </c>
      <c r="K379" s="2" t="n">
        <f aca="false">IF(AND(E379&lt;&gt;"",G379&lt;&gt;"",J379&gt;0),IF(I379&gt;=Inputs!$B$6,1,0),0)</f>
        <v>0</v>
      </c>
      <c r="L379" s="5" t="n">
        <v>1</v>
      </c>
      <c r="M379" s="5" t="n">
        <v>140.2598</v>
      </c>
      <c r="N379" s="5" t="n">
        <v>0.71</v>
      </c>
      <c r="O379" s="4" t="s">
        <v>64</v>
      </c>
      <c r="P379" s="2" t="n">
        <f aca="false">IF(K379=1,J379/G379^2,0)</f>
        <v>0</v>
      </c>
      <c r="Q379" s="2" t="n">
        <f aca="false">IF(K379=1,((E379-Result!$B$7*D379)/G379)^2,0)</f>
        <v>0</v>
      </c>
    </row>
    <row r="380" customFormat="false" ht="15" hidden="false" customHeight="false" outlineLevel="0" collapsed="false">
      <c r="A380" s="4" t="s">
        <v>37</v>
      </c>
      <c r="B380" s="4" t="s">
        <v>446</v>
      </c>
      <c r="C380" s="4" t="s">
        <v>63</v>
      </c>
      <c r="D380" s="5" t="n">
        <v>349.6388</v>
      </c>
      <c r="E380" s="5" t="n">
        <v>0.73</v>
      </c>
      <c r="F380" s="5" t="n">
        <v>0.00507761375860321</v>
      </c>
      <c r="G380" s="5" t="n">
        <v>1.2613</v>
      </c>
      <c r="H380" s="2" t="n">
        <f aca="false">D380*F380</f>
        <v>1.77533078142152</v>
      </c>
      <c r="I380" s="2" t="n">
        <f aca="false">IF(G380="","",D380*1000000/Inputs!$B$4^2*Inputs!$B$5/G380)</f>
        <v>1.40867610648299</v>
      </c>
      <c r="J380" s="2" t="n">
        <f aca="false">IF(C380="A",Inputs!$B$7,IF(C380="B",Inputs!$B$8,IF(C380="C",Inputs!$B$9,0)))</f>
        <v>1</v>
      </c>
      <c r="K380" s="2" t="n">
        <f aca="false">IF(AND(E380&lt;&gt;"",G380&lt;&gt;"",J380&gt;0),IF(I380&gt;=Inputs!$B$6,1,0),0)</f>
        <v>0</v>
      </c>
      <c r="L380" s="5" t="n">
        <v>0</v>
      </c>
      <c r="M380" s="5" t="n">
        <v>349.6378</v>
      </c>
      <c r="N380" s="5" t="n">
        <v>1.78</v>
      </c>
      <c r="O380" s="4" t="s">
        <v>64</v>
      </c>
      <c r="P380" s="2" t="n">
        <f aca="false">IF(K380=1,J380/G380^2,0)</f>
        <v>0</v>
      </c>
      <c r="Q380" s="2" t="n">
        <f aca="false">IF(K380=1,((E380-Result!$B$7*D380)/G380)^2,0)</f>
        <v>0</v>
      </c>
    </row>
    <row r="381" customFormat="false" ht="15" hidden="false" customHeight="false" outlineLevel="0" collapsed="false">
      <c r="A381" s="4" t="s">
        <v>37</v>
      </c>
      <c r="B381" s="4" t="s">
        <v>447</v>
      </c>
      <c r="C381" s="4" t="s">
        <v>63</v>
      </c>
      <c r="D381" s="5" t="n">
        <v>517.3036</v>
      </c>
      <c r="E381" s="5" t="n">
        <v>0.48</v>
      </c>
      <c r="F381" s="5" t="n">
        <v>0.00507755945075276</v>
      </c>
      <c r="G381" s="5" t="n">
        <v>1.2613</v>
      </c>
      <c r="H381" s="2" t="n">
        <f aca="false">D381*F381</f>
        <v>2.62663978308842</v>
      </c>
      <c r="I381" s="2" t="n">
        <f aca="false">IF(G381="","",D381*1000000/Inputs!$B$4^2*Inputs!$B$5/G381)</f>
        <v>2.08418865731616</v>
      </c>
      <c r="J381" s="2" t="n">
        <f aca="false">IF(C381="A",Inputs!$B$7,IF(C381="B",Inputs!$B$8,IF(C381="C",Inputs!$B$9,0)))</f>
        <v>1</v>
      </c>
      <c r="K381" s="2" t="n">
        <f aca="false">IF(AND(E381&lt;&gt;"",G381&lt;&gt;"",J381&gt;0),IF(I381&gt;=Inputs!$B$6,1,0),0)</f>
        <v>1</v>
      </c>
      <c r="L381" s="5" t="n">
        <v>1</v>
      </c>
      <c r="M381" s="5" t="n">
        <v>517.3027</v>
      </c>
      <c r="N381" s="5" t="n">
        <v>2.63</v>
      </c>
      <c r="O381" s="4" t="s">
        <v>64</v>
      </c>
      <c r="P381" s="2" t="n">
        <f aca="false">IF(K381=1,J381/G381^2,0)</f>
        <v>0.628583835379576</v>
      </c>
      <c r="Q381" s="2" t="n">
        <f aca="false">IF(K381=1,((E381-Result!$B$7*D381)/G381)^2,0)</f>
        <v>2.86328833848121</v>
      </c>
    </row>
    <row r="382" customFormat="false" ht="15" hidden="false" customHeight="false" outlineLevel="0" collapsed="false">
      <c r="A382" s="4" t="s">
        <v>37</v>
      </c>
      <c r="B382" s="4" t="s">
        <v>448</v>
      </c>
      <c r="C382" s="4" t="s">
        <v>63</v>
      </c>
      <c r="D382" s="5" t="n">
        <v>241.6171</v>
      </c>
      <c r="E382" s="5" t="n">
        <v>0.39</v>
      </c>
      <c r="F382" s="5" t="n">
        <v>0.00507747800532482</v>
      </c>
      <c r="G382" s="5" t="n">
        <v>1.2613</v>
      </c>
      <c r="H382" s="2" t="n">
        <f aca="false">D382*F382</f>
        <v>1.22680551096037</v>
      </c>
      <c r="I382" s="2" t="n">
        <f aca="false">IF(G382="","",D382*1000000/Inputs!$B$4^2*Inputs!$B$5/G382)</f>
        <v>0.973462429477822</v>
      </c>
      <c r="J382" s="2" t="n">
        <f aca="false">IF(C382="A",Inputs!$B$7,IF(C382="B",Inputs!$B$8,IF(C382="C",Inputs!$B$9,0)))</f>
        <v>1</v>
      </c>
      <c r="K382" s="2" t="n">
        <f aca="false">IF(AND(E382&lt;&gt;"",G382&lt;&gt;"",J382&gt;0),IF(I382&gt;=Inputs!$B$6,1,0),0)</f>
        <v>0</v>
      </c>
      <c r="L382" s="5" t="n">
        <v>0</v>
      </c>
      <c r="M382" s="5" t="n">
        <v>241.6165</v>
      </c>
      <c r="N382" s="5" t="n">
        <v>1.23</v>
      </c>
      <c r="O382" s="4" t="s">
        <v>64</v>
      </c>
      <c r="P382" s="2" t="n">
        <f aca="false">IF(K382=1,J382/G382^2,0)</f>
        <v>0</v>
      </c>
      <c r="Q382" s="2" t="n">
        <f aca="false">IF(K382=1,((E382-Result!$B$7*D382)/G382)^2,0)</f>
        <v>0</v>
      </c>
    </row>
    <row r="383" customFormat="false" ht="15" hidden="false" customHeight="false" outlineLevel="0" collapsed="false">
      <c r="A383" s="4" t="s">
        <v>37</v>
      </c>
      <c r="B383" s="4" t="s">
        <v>449</v>
      </c>
      <c r="C383" s="4" t="s">
        <v>63</v>
      </c>
      <c r="D383" s="5" t="n">
        <v>388.1448</v>
      </c>
      <c r="E383" s="5" t="n">
        <v>1.77</v>
      </c>
      <c r="F383" s="5" t="n">
        <v>0.00507745511732847</v>
      </c>
      <c r="G383" s="5" t="n">
        <v>1.2613</v>
      </c>
      <c r="H383" s="2" t="n">
        <f aca="false">D383*F383</f>
        <v>1.97078780102444</v>
      </c>
      <c r="I383" s="2" t="n">
        <f aca="false">IF(G383="","",D383*1000000/Inputs!$B$4^2*Inputs!$B$5/G383)</f>
        <v>1.56381472998883</v>
      </c>
      <c r="J383" s="2" t="n">
        <f aca="false">IF(C383="A",Inputs!$B$7,IF(C383="B",Inputs!$B$8,IF(C383="C",Inputs!$B$9,0)))</f>
        <v>1</v>
      </c>
      <c r="K383" s="2" t="n">
        <f aca="false">IF(AND(E383&lt;&gt;"",G383&lt;&gt;"",J383&gt;0),IF(I383&gt;=Inputs!$B$6,1,0),0)</f>
        <v>0</v>
      </c>
      <c r="L383" s="5" t="n">
        <v>0</v>
      </c>
      <c r="M383" s="5" t="n">
        <v>388.1439</v>
      </c>
      <c r="N383" s="5" t="n">
        <v>1.97</v>
      </c>
      <c r="O383" s="4" t="s">
        <v>64</v>
      </c>
      <c r="P383" s="2" t="n">
        <f aca="false">IF(K383=1,J383/G383^2,0)</f>
        <v>0</v>
      </c>
      <c r="Q383" s="2" t="n">
        <f aca="false">IF(K383=1,((E383-Result!$B$7*D383)/G383)^2,0)</f>
        <v>0</v>
      </c>
    </row>
    <row r="384" customFormat="false" ht="15" hidden="false" customHeight="false" outlineLevel="0" collapsed="false">
      <c r="A384" s="4" t="s">
        <v>37</v>
      </c>
      <c r="B384" s="4" t="s">
        <v>450</v>
      </c>
      <c r="C384" s="4" t="s">
        <v>63</v>
      </c>
      <c r="D384" s="5" t="n">
        <v>405.1454</v>
      </c>
      <c r="E384" s="5" t="n">
        <v>1.63</v>
      </c>
      <c r="F384" s="5" t="n">
        <v>0.0050774007551662</v>
      </c>
      <c r="G384" s="5" t="n">
        <v>1.2613</v>
      </c>
      <c r="H384" s="2" t="n">
        <f aca="false">D384*F384</f>
        <v>2.05708555991211</v>
      </c>
      <c r="I384" s="2" t="n">
        <f aca="false">IF(G384="","",D384*1000000/Inputs!$B$4^2*Inputs!$B$5/G384)</f>
        <v>1.63230924208495</v>
      </c>
      <c r="J384" s="2" t="n">
        <f aca="false">IF(C384="A",Inputs!$B$7,IF(C384="B",Inputs!$B$8,IF(C384="C",Inputs!$B$9,0)))</f>
        <v>1</v>
      </c>
      <c r="K384" s="2" t="n">
        <f aca="false">IF(AND(E384&lt;&gt;"",G384&lt;&gt;"",J384&gt;0),IF(I384&gt;=Inputs!$B$6,1,0),0)</f>
        <v>0</v>
      </c>
      <c r="L384" s="5" t="n">
        <v>1</v>
      </c>
      <c r="M384" s="5" t="n">
        <v>405.1442</v>
      </c>
      <c r="N384" s="5" t="n">
        <v>2.06</v>
      </c>
      <c r="O384" s="4" t="s">
        <v>64</v>
      </c>
      <c r="P384" s="2" t="n">
        <f aca="false">IF(K384=1,J384/G384^2,0)</f>
        <v>0</v>
      </c>
      <c r="Q384" s="2" t="n">
        <f aca="false">IF(K384=1,((E384-Result!$B$7*D384)/G384)^2,0)</f>
        <v>0</v>
      </c>
    </row>
    <row r="385" customFormat="false" ht="15" hidden="false" customHeight="false" outlineLevel="0" collapsed="false">
      <c r="A385" s="4" t="s">
        <v>37</v>
      </c>
      <c r="B385" s="4" t="s">
        <v>451</v>
      </c>
      <c r="C385" s="4" t="s">
        <v>63</v>
      </c>
      <c r="D385" s="5" t="n">
        <v>258.6174</v>
      </c>
      <c r="E385" s="5" t="n">
        <v>0.25</v>
      </c>
      <c r="F385" s="5" t="n">
        <v>0.00507739137116163</v>
      </c>
      <c r="G385" s="5" t="n">
        <v>1.2613</v>
      </c>
      <c r="H385" s="2" t="n">
        <f aca="false">D385*F385</f>
        <v>1.31310175519225</v>
      </c>
      <c r="I385" s="2" t="n">
        <f aca="false">IF(G385="","",D385*1000000/Inputs!$B$4^2*Inputs!$B$5/G385)</f>
        <v>1.04195573288992</v>
      </c>
      <c r="J385" s="2" t="n">
        <f aca="false">IF(C385="A",Inputs!$B$7,IF(C385="B",Inputs!$B$8,IF(C385="C",Inputs!$B$9,0)))</f>
        <v>1</v>
      </c>
      <c r="K385" s="2" t="n">
        <f aca="false">IF(AND(E385&lt;&gt;"",G385&lt;&gt;"",J385&gt;0),IF(I385&gt;=Inputs!$B$6,1,0),0)</f>
        <v>0</v>
      </c>
      <c r="L385" s="5" t="n">
        <v>0</v>
      </c>
      <c r="M385" s="5" t="n">
        <v>258.6168</v>
      </c>
      <c r="N385" s="5" t="n">
        <v>1.31</v>
      </c>
      <c r="O385" s="4" t="s">
        <v>64</v>
      </c>
      <c r="P385" s="2" t="n">
        <f aca="false">IF(K385=1,J385/G385^2,0)</f>
        <v>0</v>
      </c>
      <c r="Q385" s="2" t="n">
        <f aca="false">IF(K385=1,((E385-Result!$B$7*D385)/G385)^2,0)</f>
        <v>0</v>
      </c>
    </row>
    <row r="386" customFormat="false" ht="15" hidden="false" customHeight="false" outlineLevel="0" collapsed="false">
      <c r="A386" s="4" t="s">
        <v>37</v>
      </c>
      <c r="B386" s="4" t="s">
        <v>452</v>
      </c>
      <c r="C386" s="4" t="s">
        <v>63</v>
      </c>
      <c r="D386" s="5" t="n">
        <v>320.4207</v>
      </c>
      <c r="E386" s="5" t="n">
        <v>1.05</v>
      </c>
      <c r="F386" s="5" t="n">
        <v>0.00507766191738212</v>
      </c>
      <c r="G386" s="5" t="n">
        <v>1.2613</v>
      </c>
      <c r="H386" s="2" t="n">
        <f aca="false">D386*F386</f>
        <v>1.62698798593092</v>
      </c>
      <c r="I386" s="2" t="n">
        <f aca="false">IF(G386="","",D386*1000000/Inputs!$B$4^2*Inputs!$B$5/G386)</f>
        <v>1.29095793748449</v>
      </c>
      <c r="J386" s="2" t="n">
        <f aca="false">IF(C386="A",Inputs!$B$7,IF(C386="B",Inputs!$B$8,IF(C386="C",Inputs!$B$9,0)))</f>
        <v>1</v>
      </c>
      <c r="K386" s="2" t="n">
        <f aca="false">IF(AND(E386&lt;&gt;"",G386&lt;&gt;"",J386&gt;0),IF(I386&gt;=Inputs!$B$6,1,0),0)</f>
        <v>0</v>
      </c>
      <c r="L386" s="5" t="n">
        <v>1</v>
      </c>
      <c r="M386" s="5" t="n">
        <v>320.4199</v>
      </c>
      <c r="N386" s="5" t="n">
        <v>1.63</v>
      </c>
      <c r="O386" s="4" t="s">
        <v>64</v>
      </c>
      <c r="P386" s="2" t="n">
        <f aca="false">IF(K386=1,J386/G386^2,0)</f>
        <v>0</v>
      </c>
      <c r="Q386" s="2" t="n">
        <f aca="false">IF(K386=1,((E386-Result!$B$7*D386)/G386)^2,0)</f>
        <v>0</v>
      </c>
    </row>
    <row r="387" customFormat="false" ht="15" hidden="false" customHeight="false" outlineLevel="0" collapsed="false">
      <c r="A387" s="4" t="s">
        <v>37</v>
      </c>
      <c r="B387" s="4" t="s">
        <v>453</v>
      </c>
      <c r="C387" s="4" t="s">
        <v>63</v>
      </c>
      <c r="D387" s="5" t="n">
        <v>253.8369</v>
      </c>
      <c r="E387" s="5" t="n">
        <v>2.35</v>
      </c>
      <c r="F387" s="5" t="n">
        <v>0.00507750332463906</v>
      </c>
      <c r="G387" s="5" t="n">
        <v>1.2613</v>
      </c>
      <c r="H387" s="2" t="n">
        <f aca="false">D387*F387</f>
        <v>1.28885770366607</v>
      </c>
      <c r="I387" s="2" t="n">
        <f aca="false">IF(G387="","",D387*1000000/Inputs!$B$4^2*Inputs!$B$5/G387)</f>
        <v>1.02269535295771</v>
      </c>
      <c r="J387" s="2" t="n">
        <f aca="false">IF(C387="A",Inputs!$B$7,IF(C387="B",Inputs!$B$8,IF(C387="C",Inputs!$B$9,0)))</f>
        <v>1</v>
      </c>
      <c r="K387" s="2" t="n">
        <f aca="false">IF(AND(E387&lt;&gt;"",G387&lt;&gt;"",J387&gt;0),IF(I387&gt;=Inputs!$B$6,1,0),0)</f>
        <v>0</v>
      </c>
      <c r="L387" s="5" t="n">
        <v>1</v>
      </c>
      <c r="M387" s="5" t="n">
        <v>253.8361</v>
      </c>
      <c r="N387" s="5" t="n">
        <v>1.29</v>
      </c>
      <c r="O387" s="4" t="s">
        <v>64</v>
      </c>
      <c r="P387" s="2" t="n">
        <f aca="false">IF(K387=1,J387/G387^2,0)</f>
        <v>0</v>
      </c>
      <c r="Q387" s="2" t="n">
        <f aca="false">IF(K387=1,((E387-Result!$B$7*D387)/G387)^2,0)</f>
        <v>0</v>
      </c>
    </row>
    <row r="388" customFormat="false" ht="15" hidden="false" customHeight="false" outlineLevel="0" collapsed="false">
      <c r="A388" s="4" t="s">
        <v>37</v>
      </c>
      <c r="B388" s="4" t="s">
        <v>454</v>
      </c>
      <c r="C388" s="4" t="s">
        <v>63</v>
      </c>
      <c r="D388" s="5" t="n">
        <v>745.9559</v>
      </c>
      <c r="E388" s="5" t="n">
        <v>4.63</v>
      </c>
      <c r="F388" s="5" t="n">
        <v>0.00507748163444694</v>
      </c>
      <c r="G388" s="5" t="n">
        <v>1.2613</v>
      </c>
      <c r="H388" s="2" t="n">
        <f aca="false">D388*F388</f>
        <v>3.78757738235734</v>
      </c>
      <c r="I388" s="2" t="n">
        <f aca="false">IF(G388="","",D388*1000000/Inputs!$B$4^2*Inputs!$B$5/G388)</f>
        <v>3.0054165979863</v>
      </c>
      <c r="J388" s="2" t="n">
        <f aca="false">IF(C388="A",Inputs!$B$7,IF(C388="B",Inputs!$B$8,IF(C388="C",Inputs!$B$9,0)))</f>
        <v>1</v>
      </c>
      <c r="K388" s="2" t="n">
        <f aca="false">IF(AND(E388&lt;&gt;"",G388&lt;&gt;"",J388&gt;0),IF(I388&gt;=Inputs!$B$6,1,0),0)</f>
        <v>1</v>
      </c>
      <c r="L388" s="5" t="n">
        <v>1</v>
      </c>
      <c r="M388" s="5" t="n">
        <v>745.9564</v>
      </c>
      <c r="N388" s="5" t="n">
        <v>3.79</v>
      </c>
      <c r="O388" s="4" t="s">
        <v>64</v>
      </c>
      <c r="P388" s="2" t="n">
        <f aca="false">IF(K388=1,J388/G388^2,0)</f>
        <v>0.628583835379576</v>
      </c>
      <c r="Q388" s="2" t="n">
        <f aca="false">IF(K388=1,((E388-Result!$B$7*D388)/G388)^2,0)</f>
        <v>0.465106818544515</v>
      </c>
    </row>
    <row r="389" customFormat="false" ht="15" hidden="false" customHeight="false" outlineLevel="0" collapsed="false">
      <c r="A389" s="4" t="s">
        <v>37</v>
      </c>
      <c r="B389" s="4" t="s">
        <v>455</v>
      </c>
      <c r="C389" s="4" t="s">
        <v>63</v>
      </c>
      <c r="D389" s="5" t="n">
        <v>131.3631</v>
      </c>
      <c r="E389" s="5" t="n">
        <v>1.09</v>
      </c>
      <c r="F389" s="5" t="n">
        <v>0.00507750262780659</v>
      </c>
      <c r="G389" s="5" t="n">
        <v>1.2613</v>
      </c>
      <c r="H389" s="2" t="n">
        <f aca="false">D389*F389</f>
        <v>0.666996485446819</v>
      </c>
      <c r="I389" s="2" t="n">
        <f aca="false">IF(G389="","",D389*1000000/Inputs!$B$4^2*Inputs!$B$5/G389)</f>
        <v>0.529254934645512</v>
      </c>
      <c r="J389" s="2" t="n">
        <f aca="false">IF(C389="A",Inputs!$B$7,IF(C389="B",Inputs!$B$8,IF(C389="C",Inputs!$B$9,0)))</f>
        <v>1</v>
      </c>
      <c r="K389" s="2" t="n">
        <f aca="false">IF(AND(E389&lt;&gt;"",G389&lt;&gt;"",J389&gt;0),IF(I389&gt;=Inputs!$B$6,1,0),0)</f>
        <v>0</v>
      </c>
      <c r="L389" s="5" t="n">
        <v>1</v>
      </c>
      <c r="M389" s="5" t="n">
        <v>131.3624</v>
      </c>
      <c r="N389" s="5" t="n">
        <v>0.67</v>
      </c>
      <c r="O389" s="4" t="s">
        <v>64</v>
      </c>
      <c r="P389" s="2" t="n">
        <f aca="false">IF(K389=1,J389/G389^2,0)</f>
        <v>0</v>
      </c>
      <c r="Q389" s="2" t="n">
        <f aca="false">IF(K389=1,((E389-Result!$B$7*D389)/G389)^2,0)</f>
        <v>0</v>
      </c>
    </row>
    <row r="390" customFormat="false" ht="15" hidden="false" customHeight="false" outlineLevel="0" collapsed="false">
      <c r="A390" s="4" t="s">
        <v>37</v>
      </c>
      <c r="B390" s="4" t="s">
        <v>456</v>
      </c>
      <c r="C390" s="4" t="s">
        <v>63</v>
      </c>
      <c r="D390" s="5" t="n">
        <v>324.7677</v>
      </c>
      <c r="E390" s="5" t="n">
        <v>1.93</v>
      </c>
      <c r="F390" s="5" t="n">
        <v>0.00507760314319622</v>
      </c>
      <c r="G390" s="5" t="n">
        <v>1.2613</v>
      </c>
      <c r="H390" s="2" t="n">
        <f aca="false">D390*F390</f>
        <v>1.64904149432861</v>
      </c>
      <c r="I390" s="2" t="n">
        <f aca="false">IF(G390="","",D390*1000000/Inputs!$B$4^2*Inputs!$B$5/G390)</f>
        <v>1.30847176900114</v>
      </c>
      <c r="J390" s="2" t="n">
        <f aca="false">IF(C390="A",Inputs!$B$7,IF(C390="B",Inputs!$B$8,IF(C390="C",Inputs!$B$9,0)))</f>
        <v>1</v>
      </c>
      <c r="K390" s="2" t="n">
        <f aca="false">IF(AND(E390&lt;&gt;"",G390&lt;&gt;"",J390&gt;0),IF(I390&gt;=Inputs!$B$6,1,0),0)</f>
        <v>0</v>
      </c>
      <c r="L390" s="5" t="n">
        <v>1</v>
      </c>
      <c r="M390" s="5" t="n">
        <v>324.767</v>
      </c>
      <c r="N390" s="5" t="n">
        <v>1.65</v>
      </c>
      <c r="O390" s="4" t="s">
        <v>64</v>
      </c>
      <c r="P390" s="2" t="n">
        <f aca="false">IF(K390=1,J390/G390^2,0)</f>
        <v>0</v>
      </c>
      <c r="Q390" s="2" t="n">
        <f aca="false">IF(K390=1,((E390-Result!$B$7*D390)/G390)^2,0)</f>
        <v>0</v>
      </c>
    </row>
    <row r="391" customFormat="false" ht="15" hidden="false" customHeight="false" outlineLevel="0" collapsed="false">
      <c r="A391" s="4" t="s">
        <v>37</v>
      </c>
      <c r="B391" s="4" t="s">
        <v>457</v>
      </c>
      <c r="C391" s="4" t="s">
        <v>63</v>
      </c>
      <c r="D391" s="5" t="n">
        <v>398.2605</v>
      </c>
      <c r="E391" s="5" t="n">
        <v>-1.18</v>
      </c>
      <c r="F391" s="5" t="n">
        <v>0.00507738104224326</v>
      </c>
      <c r="G391" s="5" t="n">
        <v>1.2613</v>
      </c>
      <c r="H391" s="2" t="n">
        <f aca="false">D391*F391</f>
        <v>2.02212031257432</v>
      </c>
      <c r="I391" s="2" t="n">
        <f aca="false">IF(G391="","",D391*1000000/Inputs!$B$4^2*Inputs!$B$5/G391)</f>
        <v>1.60457034661476</v>
      </c>
      <c r="J391" s="2" t="n">
        <f aca="false">IF(C391="A",Inputs!$B$7,IF(C391="B",Inputs!$B$8,IF(C391="C",Inputs!$B$9,0)))</f>
        <v>1</v>
      </c>
      <c r="K391" s="2" t="n">
        <f aca="false">IF(AND(E391&lt;&gt;"",G391&lt;&gt;"",J391&gt;0),IF(I391&gt;=Inputs!$B$6,1,0),0)</f>
        <v>0</v>
      </c>
      <c r="L391" s="5" t="n">
        <v>1</v>
      </c>
      <c r="M391" s="5" t="n">
        <v>398.2606</v>
      </c>
      <c r="N391" s="5" t="n">
        <v>2.02</v>
      </c>
      <c r="O391" s="4" t="s">
        <v>64</v>
      </c>
      <c r="P391" s="2" t="n">
        <f aca="false">IF(K391=1,J391/G391^2,0)</f>
        <v>0</v>
      </c>
      <c r="Q391" s="2" t="n">
        <f aca="false">IF(K391=1,((E391-Result!$B$7*D391)/G391)^2,0)</f>
        <v>0</v>
      </c>
    </row>
    <row r="392" customFormat="false" ht="15" hidden="false" customHeight="false" outlineLevel="0" collapsed="false">
      <c r="A392" s="4" t="s">
        <v>37</v>
      </c>
      <c r="B392" s="4" t="s">
        <v>458</v>
      </c>
      <c r="C392" s="4" t="s">
        <v>63</v>
      </c>
      <c r="D392" s="5" t="n">
        <v>126.469</v>
      </c>
      <c r="E392" s="5" t="n">
        <v>1.78</v>
      </c>
      <c r="F392" s="5" t="n">
        <v>0.00507804413290239</v>
      </c>
      <c r="G392" s="5" t="n">
        <v>1.2613</v>
      </c>
      <c r="H392" s="2" t="n">
        <f aca="false">D392*F392</f>
        <v>0.642215163444032</v>
      </c>
      <c r="I392" s="2" t="n">
        <f aca="false">IF(G392="","",D392*1000000/Inputs!$B$4^2*Inputs!$B$5/G392)</f>
        <v>0.509536866362648</v>
      </c>
      <c r="J392" s="2" t="n">
        <f aca="false">IF(C392="A",Inputs!$B$7,IF(C392="B",Inputs!$B$8,IF(C392="C",Inputs!$B$9,0)))</f>
        <v>1</v>
      </c>
      <c r="K392" s="2" t="n">
        <f aca="false">IF(AND(E392&lt;&gt;"",G392&lt;&gt;"",J392&gt;0),IF(I392&gt;=Inputs!$B$6,1,0),0)</f>
        <v>0</v>
      </c>
      <c r="L392" s="5" t="n">
        <v>1</v>
      </c>
      <c r="M392" s="5" t="n">
        <v>126.4684</v>
      </c>
      <c r="N392" s="5" t="n">
        <v>0.64</v>
      </c>
      <c r="O392" s="4" t="s">
        <v>64</v>
      </c>
      <c r="P392" s="2" t="n">
        <f aca="false">IF(K392=1,J392/G392^2,0)</f>
        <v>0</v>
      </c>
      <c r="Q392" s="2" t="n">
        <f aca="false">IF(K392=1,((E392-Result!$B$7*D392)/G392)^2,0)</f>
        <v>0</v>
      </c>
    </row>
    <row r="393" customFormat="false" ht="15" hidden="false" customHeight="false" outlineLevel="0" collapsed="false">
      <c r="A393" s="4" t="s">
        <v>37</v>
      </c>
      <c r="B393" s="4" t="s">
        <v>459</v>
      </c>
      <c r="C393" s="4" t="s">
        <v>63</v>
      </c>
      <c r="D393" s="5" t="n">
        <v>181.7365</v>
      </c>
      <c r="E393" s="5" t="n">
        <v>1.76</v>
      </c>
      <c r="F393" s="5" t="n">
        <v>0.00507800184654651</v>
      </c>
      <c r="G393" s="5" t="n">
        <v>1.2613</v>
      </c>
      <c r="H393" s="2" t="n">
        <f aca="false">D393*F393</f>
        <v>0.9228582825849</v>
      </c>
      <c r="I393" s="2" t="n">
        <f aca="false">IF(G393="","",D393*1000000/Inputs!$B$4^2*Inputs!$B$5/G393)</f>
        <v>0.732206680796997</v>
      </c>
      <c r="J393" s="2" t="n">
        <f aca="false">IF(C393="A",Inputs!$B$7,IF(C393="B",Inputs!$B$8,IF(C393="C",Inputs!$B$9,0)))</f>
        <v>1</v>
      </c>
      <c r="K393" s="2" t="n">
        <f aca="false">IF(AND(E393&lt;&gt;"",G393&lt;&gt;"",J393&gt;0),IF(I393&gt;=Inputs!$B$6,1,0),0)</f>
        <v>0</v>
      </c>
      <c r="L393" s="5" t="n">
        <v>0</v>
      </c>
      <c r="M393" s="5" t="n">
        <v>181.7357</v>
      </c>
      <c r="N393" s="5" t="n">
        <v>0.92</v>
      </c>
      <c r="O393" s="4" t="s">
        <v>64</v>
      </c>
      <c r="P393" s="2" t="n">
        <f aca="false">IF(K393=1,J393/G393^2,0)</f>
        <v>0</v>
      </c>
      <c r="Q393" s="2" t="n">
        <f aca="false">IF(K393=1,((E393-Result!$B$7*D393)/G393)^2,0)</f>
        <v>0</v>
      </c>
    </row>
    <row r="394" customFormat="false" ht="15" hidden="false" customHeight="false" outlineLevel="0" collapsed="false">
      <c r="A394" s="4" t="s">
        <v>37</v>
      </c>
      <c r="B394" s="4" t="s">
        <v>460</v>
      </c>
      <c r="C394" s="4" t="s">
        <v>63</v>
      </c>
      <c r="D394" s="5" t="n">
        <v>174.3465</v>
      </c>
      <c r="E394" s="5" t="n">
        <v>-0.33</v>
      </c>
      <c r="F394" s="5" t="n">
        <v>0.00507791459175352</v>
      </c>
      <c r="G394" s="5" t="n">
        <v>1.2613</v>
      </c>
      <c r="H394" s="2" t="n">
        <f aca="false">D394*F394</f>
        <v>0.885316636371155</v>
      </c>
      <c r="I394" s="2" t="n">
        <f aca="false">IF(G394="","",D394*1000000/Inputs!$B$4^2*Inputs!$B$5/G394)</f>
        <v>0.702432764324028</v>
      </c>
      <c r="J394" s="2" t="n">
        <f aca="false">IF(C394="A",Inputs!$B$7,IF(C394="B",Inputs!$B$8,IF(C394="C",Inputs!$B$9,0)))</f>
        <v>1</v>
      </c>
      <c r="K394" s="2" t="n">
        <f aca="false">IF(AND(E394&lt;&gt;"",G394&lt;&gt;"",J394&gt;0),IF(I394&gt;=Inputs!$B$6,1,0),0)</f>
        <v>0</v>
      </c>
      <c r="L394" s="5" t="n">
        <v>0</v>
      </c>
      <c r="M394" s="5" t="n">
        <v>174.3457</v>
      </c>
      <c r="N394" s="5" t="n">
        <v>0.89</v>
      </c>
      <c r="O394" s="4" t="s">
        <v>64</v>
      </c>
      <c r="P394" s="2" t="n">
        <f aca="false">IF(K394=1,J394/G394^2,0)</f>
        <v>0</v>
      </c>
      <c r="Q394" s="2" t="n">
        <f aca="false">IF(K394=1,((E394-Result!$B$7*D394)/G394)^2,0)</f>
        <v>0</v>
      </c>
    </row>
    <row r="395" customFormat="false" ht="15" hidden="false" customHeight="false" outlineLevel="0" collapsed="false">
      <c r="A395" s="4" t="s">
        <v>37</v>
      </c>
      <c r="B395" s="4" t="s">
        <v>461</v>
      </c>
      <c r="C395" s="4" t="s">
        <v>63</v>
      </c>
      <c r="D395" s="5" t="n">
        <v>49.8539</v>
      </c>
      <c r="E395" s="5" t="n">
        <v>1.64</v>
      </c>
      <c r="F395" s="5" t="n">
        <v>0.00507794587384619</v>
      </c>
      <c r="G395" s="5" t="n">
        <v>1.2613</v>
      </c>
      <c r="H395" s="2" t="n">
        <f aca="false">D395*F395</f>
        <v>0.25315540580014</v>
      </c>
      <c r="I395" s="2" t="n">
        <f aca="false">IF(G395="","",D395*1000000/Inputs!$B$4^2*Inputs!$B$5/G395)</f>
        <v>0.200858708315531</v>
      </c>
      <c r="J395" s="2" t="n">
        <f aca="false">IF(C395="A",Inputs!$B$7,IF(C395="B",Inputs!$B$8,IF(C395="C",Inputs!$B$9,0)))</f>
        <v>1</v>
      </c>
      <c r="K395" s="2" t="n">
        <f aca="false">IF(AND(E395&lt;&gt;"",G395&lt;&gt;"",J395&gt;0),IF(I395&gt;=Inputs!$B$6,1,0),0)</f>
        <v>0</v>
      </c>
      <c r="L395" s="5" t="n">
        <v>0</v>
      </c>
      <c r="M395" s="5" t="n">
        <v>49.8537</v>
      </c>
      <c r="N395" s="5" t="n">
        <v>0.25</v>
      </c>
      <c r="O395" s="4" t="s">
        <v>64</v>
      </c>
      <c r="P395" s="2" t="n">
        <f aca="false">IF(K395=1,J395/G395^2,0)</f>
        <v>0</v>
      </c>
      <c r="Q395" s="2" t="n">
        <f aca="false">IF(K395=1,((E395-Result!$B$7*D395)/G395)^2,0)</f>
        <v>0</v>
      </c>
    </row>
    <row r="396" customFormat="false" ht="15" hidden="false" customHeight="false" outlineLevel="0" collapsed="false">
      <c r="A396" s="4" t="s">
        <v>37</v>
      </c>
      <c r="B396" s="4" t="s">
        <v>462</v>
      </c>
      <c r="C396" s="4" t="s">
        <v>63</v>
      </c>
      <c r="D396" s="5" t="n">
        <v>156.1332</v>
      </c>
      <c r="E396" s="5" t="n">
        <v>2.28</v>
      </c>
      <c r="F396" s="5" t="n">
        <v>0.00507785858622674</v>
      </c>
      <c r="G396" s="5" t="n">
        <v>1.2613</v>
      </c>
      <c r="H396" s="2" t="n">
        <f aca="false">D396*F396</f>
        <v>0.792822310215057</v>
      </c>
      <c r="I396" s="2" t="n">
        <f aca="false">IF(G396="","",D396*1000000/Inputs!$B$4^2*Inputs!$B$5/G396)</f>
        <v>0.629052348505742</v>
      </c>
      <c r="J396" s="2" t="n">
        <f aca="false">IF(C396="A",Inputs!$B$7,IF(C396="B",Inputs!$B$8,IF(C396="C",Inputs!$B$9,0)))</f>
        <v>1</v>
      </c>
      <c r="K396" s="2" t="n">
        <f aca="false">IF(AND(E396&lt;&gt;"",G396&lt;&gt;"",J396&gt;0),IF(I396&gt;=Inputs!$B$6,1,0),0)</f>
        <v>0</v>
      </c>
      <c r="L396" s="5" t="n">
        <v>0</v>
      </c>
      <c r="M396" s="5" t="n">
        <v>156.1326</v>
      </c>
      <c r="N396" s="5" t="n">
        <v>0.79</v>
      </c>
      <c r="O396" s="4" t="s">
        <v>64</v>
      </c>
      <c r="P396" s="2" t="n">
        <f aca="false">IF(K396=1,J396/G396^2,0)</f>
        <v>0</v>
      </c>
      <c r="Q396" s="2" t="n">
        <f aca="false">IF(K396=1,((E396-Result!$B$7*D396)/G396)^2,0)</f>
        <v>0</v>
      </c>
    </row>
    <row r="397" customFormat="false" ht="15" hidden="false" customHeight="false" outlineLevel="0" collapsed="false">
      <c r="A397" s="4" t="s">
        <v>37</v>
      </c>
      <c r="B397" s="4" t="s">
        <v>463</v>
      </c>
      <c r="C397" s="4" t="s">
        <v>63</v>
      </c>
      <c r="D397" s="5" t="n">
        <v>246.0306</v>
      </c>
      <c r="E397" s="5" t="n">
        <v>2.97</v>
      </c>
      <c r="F397" s="5" t="n">
        <v>0.00507801339584059</v>
      </c>
      <c r="G397" s="5" t="n">
        <v>1.2613</v>
      </c>
      <c r="H397" s="2" t="n">
        <f aca="false">D397*F397</f>
        <v>1.2493466825867</v>
      </c>
      <c r="I397" s="2" t="n">
        <f aca="false">IF(G397="","",D397*1000000/Inputs!$B$4^2*Inputs!$B$5/G397)</f>
        <v>0.991244185953255</v>
      </c>
      <c r="J397" s="2" t="n">
        <f aca="false">IF(C397="A",Inputs!$B$7,IF(C397="B",Inputs!$B$8,IF(C397="C",Inputs!$B$9,0)))</f>
        <v>1</v>
      </c>
      <c r="K397" s="2" t="n">
        <f aca="false">IF(AND(E397&lt;&gt;"",G397&lt;&gt;"",J397&gt;0),IF(I397&gt;=Inputs!$B$6,1,0),0)</f>
        <v>0</v>
      </c>
      <c r="L397" s="5" t="n">
        <v>0</v>
      </c>
      <c r="M397" s="5" t="n">
        <v>246.0304</v>
      </c>
      <c r="N397" s="5" t="n">
        <v>1.25</v>
      </c>
      <c r="O397" s="4" t="s">
        <v>64</v>
      </c>
      <c r="P397" s="2" t="n">
        <f aca="false">IF(K397=1,J397/G397^2,0)</f>
        <v>0</v>
      </c>
      <c r="Q397" s="2" t="n">
        <f aca="false">IF(K397=1,((E397-Result!$B$7*D397)/G397)^2,0)</f>
        <v>0</v>
      </c>
    </row>
    <row r="398" customFormat="false" ht="15" hidden="false" customHeight="false" outlineLevel="0" collapsed="false">
      <c r="A398" s="4" t="s">
        <v>37</v>
      </c>
      <c r="B398" s="4" t="s">
        <v>464</v>
      </c>
      <c r="C398" s="4" t="s">
        <v>63</v>
      </c>
      <c r="D398" s="5" t="n">
        <v>478.8607</v>
      </c>
      <c r="E398" s="5" t="n">
        <v>3.97</v>
      </c>
      <c r="F398" s="5" t="n">
        <v>0.00507796971791931</v>
      </c>
      <c r="G398" s="5" t="n">
        <v>1.2613</v>
      </c>
      <c r="H398" s="2" t="n">
        <f aca="false">D398*F398</f>
        <v>2.43164013370164</v>
      </c>
      <c r="I398" s="2" t="n">
        <f aca="false">IF(G398="","",D398*1000000/Inputs!$B$4^2*Inputs!$B$5/G398)</f>
        <v>1.92930426035016</v>
      </c>
      <c r="J398" s="2" t="n">
        <f aca="false">IF(C398="A",Inputs!$B$7,IF(C398="B",Inputs!$B$8,IF(C398="C",Inputs!$B$9,0)))</f>
        <v>1</v>
      </c>
      <c r="K398" s="2" t="n">
        <f aca="false">IF(AND(E398&lt;&gt;"",G398&lt;&gt;"",J398&gt;0),IF(I398&gt;=Inputs!$B$6,1,0),0)</f>
        <v>0</v>
      </c>
      <c r="L398" s="5" t="n">
        <v>1</v>
      </c>
      <c r="M398" s="5" t="n">
        <v>478.8605</v>
      </c>
      <c r="N398" s="5" t="n">
        <v>2.43</v>
      </c>
      <c r="O398" s="4" t="s">
        <v>64</v>
      </c>
      <c r="P398" s="2" t="n">
        <f aca="false">IF(K398=1,J398/G398^2,0)</f>
        <v>0</v>
      </c>
      <c r="Q398" s="2" t="n">
        <f aca="false">IF(K398=1,((E398-Result!$B$7*D398)/G398)^2,0)</f>
        <v>0</v>
      </c>
    </row>
    <row r="399" customFormat="false" ht="15" hidden="false" customHeight="false" outlineLevel="0" collapsed="false">
      <c r="A399" s="4" t="s">
        <v>37</v>
      </c>
      <c r="B399" s="4" t="s">
        <v>465</v>
      </c>
      <c r="C399" s="4" t="s">
        <v>63</v>
      </c>
      <c r="D399" s="5" t="n">
        <v>182.9768</v>
      </c>
      <c r="E399" s="5" t="n">
        <v>-0.64</v>
      </c>
      <c r="F399" s="5" t="n">
        <v>0.00507791738232598</v>
      </c>
      <c r="G399" s="5" t="n">
        <v>1.2613</v>
      </c>
      <c r="H399" s="2" t="n">
        <f aca="false">D399*F399</f>
        <v>0.929141073282384</v>
      </c>
      <c r="I399" s="2" t="n">
        <f aca="false">IF(G399="","",D399*1000000/Inputs!$B$4^2*Inputs!$B$5/G399)</f>
        <v>0.737203783449423</v>
      </c>
      <c r="J399" s="2" t="n">
        <f aca="false">IF(C399="A",Inputs!$B$7,IF(C399="B",Inputs!$B$8,IF(C399="C",Inputs!$B$9,0)))</f>
        <v>1</v>
      </c>
      <c r="K399" s="2" t="n">
        <f aca="false">IF(AND(E399&lt;&gt;"",G399&lt;&gt;"",J399&gt;0),IF(I399&gt;=Inputs!$B$6,1,0),0)</f>
        <v>0</v>
      </c>
      <c r="L399" s="5" t="n">
        <v>0</v>
      </c>
      <c r="M399" s="5" t="n">
        <v>182.9764</v>
      </c>
      <c r="N399" s="5" t="n">
        <v>0.93</v>
      </c>
      <c r="O399" s="4" t="s">
        <v>64</v>
      </c>
      <c r="P399" s="2" t="n">
        <f aca="false">IF(K399=1,J399/G399^2,0)</f>
        <v>0</v>
      </c>
      <c r="Q399" s="2" t="n">
        <f aca="false">IF(K399=1,((E399-Result!$B$7*D399)/G399)^2,0)</f>
        <v>0</v>
      </c>
    </row>
    <row r="400" customFormat="false" ht="15" hidden="false" customHeight="false" outlineLevel="0" collapsed="false">
      <c r="A400" s="4" t="s">
        <v>37</v>
      </c>
      <c r="B400" s="4" t="s">
        <v>466</v>
      </c>
      <c r="C400" s="4" t="s">
        <v>63</v>
      </c>
      <c r="D400" s="5" t="n">
        <v>472.0736</v>
      </c>
      <c r="E400" s="5" t="n">
        <v>1.55</v>
      </c>
      <c r="F400" s="5" t="n">
        <v>0.00507780743821209</v>
      </c>
      <c r="G400" s="5" t="n">
        <v>1.2613</v>
      </c>
      <c r="H400" s="2" t="n">
        <f aca="false">D400*F400</f>
        <v>2.39709883746356</v>
      </c>
      <c r="I400" s="2" t="n">
        <f aca="false">IF(G400="","",D400*1000000/Inputs!$B$4^2*Inputs!$B$5/G400)</f>
        <v>1.90195939587199</v>
      </c>
      <c r="J400" s="2" t="n">
        <f aca="false">IF(C400="A",Inputs!$B$7,IF(C400="B",Inputs!$B$8,IF(C400="C",Inputs!$B$9,0)))</f>
        <v>1</v>
      </c>
      <c r="K400" s="2" t="n">
        <f aca="false">IF(AND(E400&lt;&gt;"",G400&lt;&gt;"",J400&gt;0),IF(I400&gt;=Inputs!$B$6,1,0),0)</f>
        <v>0</v>
      </c>
      <c r="L400" s="5" t="n">
        <v>1</v>
      </c>
      <c r="M400" s="5" t="n">
        <v>472.0732</v>
      </c>
      <c r="N400" s="5" t="n">
        <v>2.4</v>
      </c>
      <c r="O400" s="4" t="s">
        <v>64</v>
      </c>
      <c r="P400" s="2" t="n">
        <f aca="false">IF(K400=1,J400/G400^2,0)</f>
        <v>0</v>
      </c>
      <c r="Q400" s="2" t="n">
        <f aca="false">IF(K400=1,((E400-Result!$B$7*D400)/G400)^2,0)</f>
        <v>0</v>
      </c>
    </row>
    <row r="401" customFormat="false" ht="15" hidden="false" customHeight="false" outlineLevel="0" collapsed="false">
      <c r="A401" s="4" t="s">
        <v>37</v>
      </c>
      <c r="B401" s="4" t="s">
        <v>467</v>
      </c>
      <c r="C401" s="4" t="s">
        <v>63</v>
      </c>
      <c r="D401" s="5" t="n">
        <v>171.8298</v>
      </c>
      <c r="E401" s="5" t="n">
        <v>0.77</v>
      </c>
      <c r="F401" s="5" t="n">
        <v>0.0050779168302884</v>
      </c>
      <c r="G401" s="5" t="n">
        <v>1.2613</v>
      </c>
      <c r="H401" s="2" t="n">
        <f aca="false">D401*F401</f>
        <v>0.872537433365089</v>
      </c>
      <c r="I401" s="2" t="n">
        <f aca="false">IF(G401="","",D401*1000000/Inputs!$B$4^2*Inputs!$B$5/G401)</f>
        <v>0.692293114041548</v>
      </c>
      <c r="J401" s="2" t="n">
        <f aca="false">IF(C401="A",Inputs!$B$7,IF(C401="B",Inputs!$B$8,IF(C401="C",Inputs!$B$9,0)))</f>
        <v>1</v>
      </c>
      <c r="K401" s="2" t="n">
        <f aca="false">IF(AND(E401&lt;&gt;"",G401&lt;&gt;"",J401&gt;0),IF(I401&gt;=Inputs!$B$6,1,0),0)</f>
        <v>0</v>
      </c>
      <c r="L401" s="5" t="n">
        <v>0</v>
      </c>
      <c r="M401" s="5" t="n">
        <v>171.8297</v>
      </c>
      <c r="N401" s="5" t="n">
        <v>0.87</v>
      </c>
      <c r="O401" s="4" t="s">
        <v>64</v>
      </c>
      <c r="P401" s="2" t="n">
        <f aca="false">IF(K401=1,J401/G401^2,0)</f>
        <v>0</v>
      </c>
      <c r="Q401" s="2" t="n">
        <f aca="false">IF(K401=1,((E401-Result!$B$7*D401)/G401)^2,0)</f>
        <v>0</v>
      </c>
    </row>
    <row r="402" customFormat="false" ht="15" hidden="false" customHeight="false" outlineLevel="0" collapsed="false">
      <c r="A402" s="4" t="s">
        <v>37</v>
      </c>
      <c r="B402" s="4" t="s">
        <v>468</v>
      </c>
      <c r="C402" s="4" t="s">
        <v>63</v>
      </c>
      <c r="D402" s="5" t="n">
        <v>169.2882</v>
      </c>
      <c r="E402" s="5" t="n">
        <v>1.86</v>
      </c>
      <c r="F402" s="5" t="n">
        <v>0.0050778506113495</v>
      </c>
      <c r="G402" s="5" t="n">
        <v>1.2613</v>
      </c>
      <c r="H402" s="2" t="n">
        <f aca="false">D402*F402</f>
        <v>0.859620189864256</v>
      </c>
      <c r="I402" s="2" t="n">
        <f aca="false">IF(G402="","",D402*1000000/Inputs!$B$4^2*Inputs!$B$5/G402)</f>
        <v>0.682053142985026</v>
      </c>
      <c r="J402" s="2" t="n">
        <f aca="false">IF(C402="A",Inputs!$B$7,IF(C402="B",Inputs!$B$8,IF(C402="C",Inputs!$B$9,0)))</f>
        <v>1</v>
      </c>
      <c r="K402" s="2" t="n">
        <f aca="false">IF(AND(E402&lt;&gt;"",G402&lt;&gt;"",J402&gt;0),IF(I402&gt;=Inputs!$B$6,1,0),0)</f>
        <v>0</v>
      </c>
      <c r="L402" s="5" t="n">
        <v>1</v>
      </c>
      <c r="M402" s="5" t="n">
        <v>169.2877</v>
      </c>
      <c r="N402" s="5" t="n">
        <v>0.86</v>
      </c>
      <c r="O402" s="4" t="s">
        <v>64</v>
      </c>
      <c r="P402" s="2" t="n">
        <f aca="false">IF(K402=1,J402/G402^2,0)</f>
        <v>0</v>
      </c>
      <c r="Q402" s="2" t="n">
        <f aca="false">IF(K402=1,((E402-Result!$B$7*D402)/G402)^2,0)</f>
        <v>0</v>
      </c>
    </row>
    <row r="403" customFormat="false" ht="15" hidden="false" customHeight="false" outlineLevel="0" collapsed="false">
      <c r="A403" s="4" t="s">
        <v>37</v>
      </c>
      <c r="B403" s="4" t="s">
        <v>469</v>
      </c>
      <c r="C403" s="4" t="s">
        <v>63</v>
      </c>
      <c r="D403" s="5" t="n">
        <v>469.5322</v>
      </c>
      <c r="E403" s="5" t="n">
        <v>2.64</v>
      </c>
      <c r="F403" s="5" t="n">
        <v>0.00507778301580596</v>
      </c>
      <c r="G403" s="5" t="n">
        <v>1.2613</v>
      </c>
      <c r="H403" s="2" t="n">
        <f aca="false">D403*F403</f>
        <v>2.38418263053401</v>
      </c>
      <c r="I403" s="2" t="n">
        <f aca="false">IF(G403="","",D403*1000000/Inputs!$B$4^2*Inputs!$B$5/G403)</f>
        <v>1.89172023060481</v>
      </c>
      <c r="J403" s="2" t="n">
        <f aca="false">IF(C403="A",Inputs!$B$7,IF(C403="B",Inputs!$B$8,IF(C403="C",Inputs!$B$9,0)))</f>
        <v>1</v>
      </c>
      <c r="K403" s="2" t="n">
        <f aca="false">IF(AND(E403&lt;&gt;"",G403&lt;&gt;"",J403&gt;0),IF(I403&gt;=Inputs!$B$6,1,0),0)</f>
        <v>0</v>
      </c>
      <c r="L403" s="5" t="n">
        <v>0</v>
      </c>
      <c r="M403" s="5" t="n">
        <v>469.5312</v>
      </c>
      <c r="N403" s="5" t="n">
        <v>2.39</v>
      </c>
      <c r="O403" s="4" t="s">
        <v>64</v>
      </c>
      <c r="P403" s="2" t="n">
        <f aca="false">IF(K403=1,J403/G403^2,0)</f>
        <v>0</v>
      </c>
      <c r="Q403" s="2" t="n">
        <f aca="false">IF(K403=1,((E403-Result!$B$7*D403)/G403)^2,0)</f>
        <v>0</v>
      </c>
    </row>
    <row r="404" customFormat="false" ht="15" hidden="false" customHeight="false" outlineLevel="0" collapsed="false">
      <c r="A404" s="4" t="s">
        <v>37</v>
      </c>
      <c r="B404" s="4" t="s">
        <v>470</v>
      </c>
      <c r="C404" s="4" t="s">
        <v>63</v>
      </c>
      <c r="D404" s="5" t="n">
        <v>594.9239</v>
      </c>
      <c r="E404" s="5" t="n">
        <v>3.23</v>
      </c>
      <c r="F404" s="5" t="n">
        <v>0.00507778933178187</v>
      </c>
      <c r="G404" s="5" t="n">
        <v>1.2613</v>
      </c>
      <c r="H404" s="2" t="n">
        <f aca="false">D404*F404</f>
        <v>3.02089823264207</v>
      </c>
      <c r="I404" s="2" t="n">
        <f aca="false">IF(G404="","",D404*1000000/Inputs!$B$4^2*Inputs!$B$5/G404)</f>
        <v>2.39691671263508</v>
      </c>
      <c r="J404" s="2" t="n">
        <f aca="false">IF(C404="A",Inputs!$B$7,IF(C404="B",Inputs!$B$8,IF(C404="C",Inputs!$B$9,0)))</f>
        <v>1</v>
      </c>
      <c r="K404" s="2" t="n">
        <f aca="false">IF(AND(E404&lt;&gt;"",G404&lt;&gt;"",J404&gt;0),IF(I404&gt;=Inputs!$B$6,1,0),0)</f>
        <v>1</v>
      </c>
      <c r="L404" s="5" t="n">
        <v>1</v>
      </c>
      <c r="M404" s="5" t="n">
        <v>594.9234</v>
      </c>
      <c r="N404" s="5" t="n">
        <v>3.02</v>
      </c>
      <c r="O404" s="4" t="s">
        <v>64</v>
      </c>
      <c r="P404" s="2" t="n">
        <f aca="false">IF(K404=1,J404/G404^2,0)</f>
        <v>0.628583835379576</v>
      </c>
      <c r="Q404" s="2" t="n">
        <f aca="false">IF(K404=1,((E404-Result!$B$7*D404)/G404)^2,0)</f>
        <v>0.031386661306821</v>
      </c>
    </row>
    <row r="405" customFormat="false" ht="15" hidden="false" customHeight="false" outlineLevel="0" collapsed="false">
      <c r="A405" s="4" t="s">
        <v>37</v>
      </c>
      <c r="B405" s="4" t="s">
        <v>471</v>
      </c>
      <c r="C405" s="4" t="s">
        <v>63</v>
      </c>
      <c r="D405" s="5" t="n">
        <v>559.4478</v>
      </c>
      <c r="E405" s="5" t="n">
        <v>4.42</v>
      </c>
      <c r="F405" s="5" t="n">
        <v>0.00507776846317508</v>
      </c>
      <c r="G405" s="5" t="n">
        <v>1.2613</v>
      </c>
      <c r="H405" s="2" t="n">
        <f aca="false">D405*F405</f>
        <v>2.84074639563268</v>
      </c>
      <c r="I405" s="2" t="n">
        <f aca="false">IF(G405="","",D405*1000000/Inputs!$B$4^2*Inputs!$B$5/G405)</f>
        <v>2.25398539488315</v>
      </c>
      <c r="J405" s="2" t="n">
        <f aca="false">IF(C405="A",Inputs!$B$7,IF(C405="B",Inputs!$B$8,IF(C405="C",Inputs!$B$9,0)))</f>
        <v>1</v>
      </c>
      <c r="K405" s="2" t="n">
        <f aca="false">IF(AND(E405&lt;&gt;"",G405&lt;&gt;"",J405&gt;0),IF(I405&gt;=Inputs!$B$6,1,0),0)</f>
        <v>1</v>
      </c>
      <c r="L405" s="5" t="n">
        <v>0</v>
      </c>
      <c r="M405" s="5" t="n">
        <v>559.447</v>
      </c>
      <c r="N405" s="5" t="n">
        <v>2.84</v>
      </c>
      <c r="O405" s="4" t="s">
        <v>64</v>
      </c>
      <c r="P405" s="2" t="n">
        <f aca="false">IF(K405=1,J405/G405^2,0)</f>
        <v>0.628583835379576</v>
      </c>
      <c r="Q405" s="2" t="n">
        <f aca="false">IF(K405=1,((E405-Result!$B$7*D405)/G405)^2,0)</f>
        <v>1.59460385997214</v>
      </c>
    </row>
    <row r="406" customFormat="false" ht="15" hidden="false" customHeight="false" outlineLevel="0" collapsed="false">
      <c r="A406" s="4" t="s">
        <v>37</v>
      </c>
      <c r="B406" s="4" t="s">
        <v>472</v>
      </c>
      <c r="C406" s="4" t="s">
        <v>63</v>
      </c>
      <c r="D406" s="5" t="n">
        <v>404.6189</v>
      </c>
      <c r="E406" s="5" t="n">
        <v>2.2</v>
      </c>
      <c r="F406" s="5" t="n">
        <v>0.00507765896426791</v>
      </c>
      <c r="G406" s="5" t="n">
        <v>1.2613</v>
      </c>
      <c r="H406" s="2" t="n">
        <f aca="false">D406*F406</f>
        <v>2.05451678469722</v>
      </c>
      <c r="I406" s="2" t="n">
        <f aca="false">IF(G406="","",D406*1000000/Inputs!$B$4^2*Inputs!$B$5/G406)</f>
        <v>1.63018800162176</v>
      </c>
      <c r="J406" s="2" t="n">
        <f aca="false">IF(C406="A",Inputs!$B$7,IF(C406="B",Inputs!$B$8,IF(C406="C",Inputs!$B$9,0)))</f>
        <v>1</v>
      </c>
      <c r="K406" s="2" t="n">
        <f aca="false">IF(AND(E406&lt;&gt;"",G406&lt;&gt;"",J406&gt;0),IF(I406&gt;=Inputs!$B$6,1,0),0)</f>
        <v>0</v>
      </c>
      <c r="L406" s="5" t="n">
        <v>1</v>
      </c>
      <c r="M406" s="5" t="n">
        <v>404.6183</v>
      </c>
      <c r="N406" s="5" t="n">
        <v>2.06</v>
      </c>
      <c r="O406" s="4" t="s">
        <v>64</v>
      </c>
      <c r="P406" s="2" t="n">
        <f aca="false">IF(K406=1,J406/G406^2,0)</f>
        <v>0</v>
      </c>
      <c r="Q406" s="2" t="n">
        <f aca="false">IF(K406=1,((E406-Result!$B$7*D406)/G406)^2,0)</f>
        <v>0</v>
      </c>
    </row>
    <row r="407" customFormat="false" ht="15" hidden="false" customHeight="false" outlineLevel="0" collapsed="false">
      <c r="A407" s="4" t="s">
        <v>37</v>
      </c>
      <c r="B407" s="4" t="s">
        <v>473</v>
      </c>
      <c r="C407" s="4" t="s">
        <v>63</v>
      </c>
      <c r="D407" s="5" t="n">
        <v>440.0952</v>
      </c>
      <c r="E407" s="5" t="n">
        <v>1.01</v>
      </c>
      <c r="F407" s="5" t="n">
        <v>0.00507769585979371</v>
      </c>
      <c r="G407" s="5" t="n">
        <v>1.2613</v>
      </c>
      <c r="H407" s="2" t="n">
        <f aca="false">D407*F407</f>
        <v>2.23466957495508</v>
      </c>
      <c r="I407" s="2" t="n">
        <f aca="false">IF(G407="","",D407*1000000/Inputs!$B$4^2*Inputs!$B$5/G407)</f>
        <v>1.77312012516303</v>
      </c>
      <c r="J407" s="2" t="n">
        <f aca="false">IF(C407="A",Inputs!$B$7,IF(C407="B",Inputs!$B$8,IF(C407="C",Inputs!$B$9,0)))</f>
        <v>1</v>
      </c>
      <c r="K407" s="2" t="n">
        <f aca="false">IF(AND(E407&lt;&gt;"",G407&lt;&gt;"",J407&gt;0),IF(I407&gt;=Inputs!$B$6,1,0),0)</f>
        <v>0</v>
      </c>
      <c r="L407" s="5" t="n">
        <v>0</v>
      </c>
      <c r="M407" s="5" t="n">
        <v>440.0946</v>
      </c>
      <c r="N407" s="5" t="n">
        <v>2.24</v>
      </c>
      <c r="O407" s="4" t="s">
        <v>64</v>
      </c>
      <c r="P407" s="2" t="n">
        <f aca="false">IF(K407=1,J407/G407^2,0)</f>
        <v>0</v>
      </c>
      <c r="Q407" s="2" t="n">
        <f aca="false">IF(K407=1,((E407-Result!$B$7*D407)/G407)^2,0)</f>
        <v>0</v>
      </c>
    </row>
    <row r="408" customFormat="false" ht="15" hidden="false" customHeight="false" outlineLevel="0" collapsed="false">
      <c r="A408" s="4" t="s">
        <v>37</v>
      </c>
      <c r="B408" s="4" t="s">
        <v>474</v>
      </c>
      <c r="C408" s="4" t="s">
        <v>63</v>
      </c>
      <c r="D408" s="5" t="n">
        <v>478.0608</v>
      </c>
      <c r="E408" s="5" t="n">
        <v>2.92</v>
      </c>
      <c r="F408" s="5" t="n">
        <v>0.00507759196792571</v>
      </c>
      <c r="G408" s="5" t="n">
        <v>1.2613</v>
      </c>
      <c r="H408" s="2" t="n">
        <f aca="false">D408*F408</f>
        <v>2.42739767826014</v>
      </c>
      <c r="I408" s="2" t="n">
        <f aca="false">IF(G408="","",D408*1000000/Inputs!$B$4^2*Inputs!$B$5/G408)</f>
        <v>1.92608150584587</v>
      </c>
      <c r="J408" s="2" t="n">
        <f aca="false">IF(C408="A",Inputs!$B$7,IF(C408="B",Inputs!$B$8,IF(C408="C",Inputs!$B$9,0)))</f>
        <v>1</v>
      </c>
      <c r="K408" s="2" t="n">
        <f aca="false">IF(AND(E408&lt;&gt;"",G408&lt;&gt;"",J408&gt;0),IF(I408&gt;=Inputs!$B$6,1,0),0)</f>
        <v>0</v>
      </c>
      <c r="L408" s="5" t="n">
        <v>1</v>
      </c>
      <c r="M408" s="5" t="n">
        <v>478.0602</v>
      </c>
      <c r="N408" s="5" t="n">
        <v>2.43</v>
      </c>
      <c r="O408" s="4" t="s">
        <v>64</v>
      </c>
      <c r="P408" s="2" t="n">
        <f aca="false">IF(K408=1,J408/G408^2,0)</f>
        <v>0</v>
      </c>
      <c r="Q408" s="2" t="n">
        <f aca="false">IF(K408=1,((E408-Result!$B$7*D408)/G408)^2,0)</f>
        <v>0</v>
      </c>
    </row>
    <row r="409" customFormat="false" ht="15" hidden="false" customHeight="false" outlineLevel="0" collapsed="false">
      <c r="A409" s="4" t="s">
        <v>37</v>
      </c>
      <c r="B409" s="4" t="s">
        <v>475</v>
      </c>
      <c r="C409" s="4" t="s">
        <v>63</v>
      </c>
      <c r="D409" s="5" t="n">
        <v>200.1748</v>
      </c>
      <c r="E409" s="5" t="n">
        <v>1.08</v>
      </c>
      <c r="F409" s="5" t="n">
        <v>0.00507762744270003</v>
      </c>
      <c r="G409" s="5" t="n">
        <v>1.2613</v>
      </c>
      <c r="H409" s="2" t="n">
        <f aca="false">D409*F409</f>
        <v>1.01641305781699</v>
      </c>
      <c r="I409" s="2" t="n">
        <f aca="false">IF(G409="","",D409*1000000/Inputs!$B$4^2*Inputs!$B$5/G409)</f>
        <v>0.806493609633743</v>
      </c>
      <c r="J409" s="2" t="n">
        <f aca="false">IF(C409="A",Inputs!$B$7,IF(C409="B",Inputs!$B$8,IF(C409="C",Inputs!$B$9,0)))</f>
        <v>1</v>
      </c>
      <c r="K409" s="2" t="n">
        <f aca="false">IF(AND(E409&lt;&gt;"",G409&lt;&gt;"",J409&gt;0),IF(I409&gt;=Inputs!$B$6,1,0),0)</f>
        <v>0</v>
      </c>
      <c r="L409" s="5" t="n">
        <v>0</v>
      </c>
      <c r="M409" s="5" t="n">
        <v>200.1741</v>
      </c>
      <c r="N409" s="5" t="n">
        <v>1.02</v>
      </c>
      <c r="O409" s="4" t="s">
        <v>64</v>
      </c>
      <c r="P409" s="2" t="n">
        <f aca="false">IF(K409=1,J409/G409^2,0)</f>
        <v>0</v>
      </c>
      <c r="Q409" s="2" t="n">
        <f aca="false">IF(K409=1,((E409-Result!$B$7*D409)/G409)^2,0)</f>
        <v>0</v>
      </c>
    </row>
    <row r="410" customFormat="false" ht="15" hidden="false" customHeight="false" outlineLevel="0" collapsed="false">
      <c r="A410" s="4" t="s">
        <v>37</v>
      </c>
      <c r="B410" s="4" t="s">
        <v>476</v>
      </c>
      <c r="C410" s="4" t="s">
        <v>63</v>
      </c>
      <c r="D410" s="5" t="n">
        <v>243.5862</v>
      </c>
      <c r="E410" s="5" t="n">
        <v>0.25</v>
      </c>
      <c r="F410" s="5" t="n">
        <v>0.00507744900732172</v>
      </c>
      <c r="G410" s="5" t="n">
        <v>1.2613</v>
      </c>
      <c r="H410" s="2" t="n">
        <f aca="false">D410*F410</f>
        <v>1.23679650938727</v>
      </c>
      <c r="I410" s="2" t="n">
        <f aca="false">IF(G410="","",D410*1000000/Inputs!$B$4^2*Inputs!$B$5/G410)</f>
        <v>0.981395828520707</v>
      </c>
      <c r="J410" s="2" t="n">
        <f aca="false">IF(C410="A",Inputs!$B$7,IF(C410="B",Inputs!$B$8,IF(C410="C",Inputs!$B$9,0)))</f>
        <v>1</v>
      </c>
      <c r="K410" s="2" t="n">
        <f aca="false">IF(AND(E410&lt;&gt;"",G410&lt;&gt;"",J410&gt;0),IF(I410&gt;=Inputs!$B$6,1,0),0)</f>
        <v>0</v>
      </c>
      <c r="L410" s="5" t="n">
        <v>1</v>
      </c>
      <c r="M410" s="5" t="n">
        <v>243.5849</v>
      </c>
      <c r="N410" s="5" t="n">
        <v>1.24</v>
      </c>
      <c r="O410" s="4" t="s">
        <v>64</v>
      </c>
      <c r="P410" s="2" t="n">
        <f aca="false">IF(K410=1,J410/G410^2,0)</f>
        <v>0</v>
      </c>
      <c r="Q410" s="2" t="n">
        <f aca="false">IF(K410=1,((E410-Result!$B$7*D410)/G410)^2,0)</f>
        <v>0</v>
      </c>
    </row>
    <row r="411" customFormat="false" ht="15" hidden="false" customHeight="false" outlineLevel="0" collapsed="false">
      <c r="A411" s="4" t="s">
        <v>37</v>
      </c>
      <c r="B411" s="4" t="s">
        <v>477</v>
      </c>
      <c r="C411" s="4" t="s">
        <v>63</v>
      </c>
      <c r="D411" s="5" t="n">
        <v>167.1032</v>
      </c>
      <c r="E411" s="5" t="n">
        <v>0.69</v>
      </c>
      <c r="F411" s="5" t="n">
        <v>0.0050775632685216</v>
      </c>
      <c r="G411" s="5" t="n">
        <v>1.2613</v>
      </c>
      <c r="H411" s="2" t="n">
        <f aca="false">D411*F411</f>
        <v>0.848477070372419</v>
      </c>
      <c r="I411" s="2" t="n">
        <f aca="false">IF(G411="","",D411*1000000/Inputs!$B$4^2*Inputs!$B$5/G411)</f>
        <v>0.673249894339094</v>
      </c>
      <c r="J411" s="2" t="n">
        <f aca="false">IF(C411="A",Inputs!$B$7,IF(C411="B",Inputs!$B$8,IF(C411="C",Inputs!$B$9,0)))</f>
        <v>1</v>
      </c>
      <c r="K411" s="2" t="n">
        <f aca="false">IF(AND(E411&lt;&gt;"",G411&lt;&gt;"",J411&gt;0),IF(I411&gt;=Inputs!$B$6,1,0),0)</f>
        <v>0</v>
      </c>
      <c r="L411" s="5" t="n">
        <v>1</v>
      </c>
      <c r="M411" s="5" t="n">
        <v>167.1026</v>
      </c>
      <c r="N411" s="5" t="n">
        <v>0.85</v>
      </c>
      <c r="O411" s="4" t="s">
        <v>64</v>
      </c>
      <c r="P411" s="2" t="n">
        <f aca="false">IF(K411=1,J411/G411^2,0)</f>
        <v>0</v>
      </c>
      <c r="Q411" s="2" t="n">
        <f aca="false">IF(K411=1,((E411-Result!$B$7*D411)/G411)^2,0)</f>
        <v>0</v>
      </c>
    </row>
    <row r="412" customFormat="false" ht="15" hidden="false" customHeight="false" outlineLevel="0" collapsed="false">
      <c r="A412" s="4" t="s">
        <v>37</v>
      </c>
      <c r="B412" s="4" t="s">
        <v>478</v>
      </c>
      <c r="C412" s="4" t="s">
        <v>63</v>
      </c>
      <c r="D412" s="5" t="n">
        <v>219.2999</v>
      </c>
      <c r="E412" s="5" t="n">
        <v>2.45</v>
      </c>
      <c r="F412" s="5" t="n">
        <v>0.00507749899094072</v>
      </c>
      <c r="G412" s="5" t="n">
        <v>1.2613</v>
      </c>
      <c r="H412" s="2" t="n">
        <f aca="false">D412*F412</f>
        <v>1.1134950209634</v>
      </c>
      <c r="I412" s="2" t="n">
        <f aca="false">IF(G412="","",D412*1000000/Inputs!$B$4^2*Inputs!$B$5/G412)</f>
        <v>0.883547619097503</v>
      </c>
      <c r="J412" s="2" t="n">
        <f aca="false">IF(C412="A",Inputs!$B$7,IF(C412="B",Inputs!$B$8,IF(C412="C",Inputs!$B$9,0)))</f>
        <v>1</v>
      </c>
      <c r="K412" s="2" t="n">
        <f aca="false">IF(AND(E412&lt;&gt;"",G412&lt;&gt;"",J412&gt;0),IF(I412&gt;=Inputs!$B$6,1,0),0)</f>
        <v>0</v>
      </c>
      <c r="L412" s="5" t="n">
        <v>0</v>
      </c>
      <c r="M412" s="5" t="n">
        <v>219.2988</v>
      </c>
      <c r="N412" s="5" t="n">
        <v>1.11</v>
      </c>
      <c r="O412" s="4" t="s">
        <v>64</v>
      </c>
      <c r="P412" s="2" t="n">
        <f aca="false">IF(K412=1,J412/G412^2,0)</f>
        <v>0</v>
      </c>
      <c r="Q412" s="2" t="n">
        <f aca="false">IF(K412=1,((E412-Result!$B$7*D412)/G412)^2,0)</f>
        <v>0</v>
      </c>
    </row>
    <row r="413" customFormat="false" ht="15" hidden="false" customHeight="false" outlineLevel="0" collapsed="false">
      <c r="A413" s="4" t="s">
        <v>37</v>
      </c>
      <c r="B413" s="4" t="s">
        <v>479</v>
      </c>
      <c r="C413" s="4" t="s">
        <v>63</v>
      </c>
      <c r="D413" s="5" t="n">
        <v>252.371</v>
      </c>
      <c r="E413" s="5" t="n">
        <v>2.84</v>
      </c>
      <c r="F413" s="5" t="n">
        <v>0.00507755830167822</v>
      </c>
      <c r="G413" s="5" t="n">
        <v>1.2613</v>
      </c>
      <c r="H413" s="2" t="n">
        <f aca="false">D413*F413</f>
        <v>1.28142846615283</v>
      </c>
      <c r="I413" s="2" t="n">
        <f aca="false">IF(G413="","",D413*1000000/Inputs!$B$4^2*Inputs!$B$5/G413)</f>
        <v>1.01678931991878</v>
      </c>
      <c r="J413" s="2" t="n">
        <f aca="false">IF(C413="A",Inputs!$B$7,IF(C413="B",Inputs!$B$8,IF(C413="C",Inputs!$B$9,0)))</f>
        <v>1</v>
      </c>
      <c r="K413" s="2" t="n">
        <f aca="false">IF(AND(E413&lt;&gt;"",G413&lt;&gt;"",J413&gt;0),IF(I413&gt;=Inputs!$B$6,1,0),0)</f>
        <v>0</v>
      </c>
      <c r="L413" s="5" t="n">
        <v>1</v>
      </c>
      <c r="M413" s="5" t="n">
        <v>252.3703</v>
      </c>
      <c r="N413" s="5" t="n">
        <v>1.28</v>
      </c>
      <c r="O413" s="4" t="s">
        <v>64</v>
      </c>
      <c r="P413" s="2" t="n">
        <f aca="false">IF(K413=1,J413/G413^2,0)</f>
        <v>0</v>
      </c>
      <c r="Q413" s="2" t="n">
        <f aca="false">IF(K413=1,((E413-Result!$B$7*D413)/G413)^2,0)</f>
        <v>0</v>
      </c>
    </row>
    <row r="414" customFormat="false" ht="15" hidden="false" customHeight="false" outlineLevel="0" collapsed="false">
      <c r="A414" s="4" t="s">
        <v>37</v>
      </c>
      <c r="B414" s="4" t="s">
        <v>480</v>
      </c>
      <c r="C414" s="4" t="s">
        <v>63</v>
      </c>
      <c r="D414" s="5" t="n">
        <v>333.1664</v>
      </c>
      <c r="E414" s="5" t="n">
        <v>1.35</v>
      </c>
      <c r="F414" s="5" t="n">
        <v>0.00507744329694002</v>
      </c>
      <c r="G414" s="5" t="n">
        <v>1.2613</v>
      </c>
      <c r="H414" s="2" t="n">
        <f aca="false">D414*F414</f>
        <v>1.69163350444564</v>
      </c>
      <c r="I414" s="2" t="n">
        <f aca="false">IF(G414="","",D414*1000000/Inputs!$B$4^2*Inputs!$B$5/G414)</f>
        <v>1.34230968405953</v>
      </c>
      <c r="J414" s="2" t="n">
        <f aca="false">IF(C414="A",Inputs!$B$7,IF(C414="B",Inputs!$B$8,IF(C414="C",Inputs!$B$9,0)))</f>
        <v>1</v>
      </c>
      <c r="K414" s="2" t="n">
        <f aca="false">IF(AND(E414&lt;&gt;"",G414&lt;&gt;"",J414&gt;0),IF(I414&gt;=Inputs!$B$6,1,0),0)</f>
        <v>0</v>
      </c>
      <c r="L414" s="5" t="n">
        <v>1</v>
      </c>
      <c r="M414" s="5" t="n">
        <v>333.1654</v>
      </c>
      <c r="N414" s="5" t="n">
        <v>1.69</v>
      </c>
      <c r="O414" s="4" t="s">
        <v>64</v>
      </c>
      <c r="P414" s="2" t="n">
        <f aca="false">IF(K414=1,J414/G414^2,0)</f>
        <v>0</v>
      </c>
      <c r="Q414" s="2" t="n">
        <f aca="false">IF(K414=1,((E414-Result!$B$7*D414)/G414)^2,0)</f>
        <v>0</v>
      </c>
    </row>
    <row r="415" customFormat="false" ht="15" hidden="false" customHeight="false" outlineLevel="0" collapsed="false">
      <c r="A415" s="4" t="s">
        <v>37</v>
      </c>
      <c r="B415" s="4" t="s">
        <v>481</v>
      </c>
      <c r="C415" s="4" t="s">
        <v>63</v>
      </c>
      <c r="D415" s="5" t="n">
        <v>54.6563</v>
      </c>
      <c r="E415" s="5" t="n">
        <v>3.76</v>
      </c>
      <c r="F415" s="5" t="n">
        <v>0.00507788222867814</v>
      </c>
      <c r="G415" s="5" t="n">
        <v>1.2613</v>
      </c>
      <c r="H415" s="2" t="n">
        <f aca="false">D415*F415</f>
        <v>0.277538254455301</v>
      </c>
      <c r="I415" s="2" t="n">
        <f aca="false">IF(G415="","",D415*1000000/Inputs!$B$4^2*Inputs!$B$5/G415)</f>
        <v>0.220207322181537</v>
      </c>
      <c r="J415" s="2" t="n">
        <f aca="false">IF(C415="A",Inputs!$B$7,IF(C415="B",Inputs!$B$8,IF(C415="C",Inputs!$B$9,0)))</f>
        <v>1</v>
      </c>
      <c r="K415" s="2" t="n">
        <f aca="false">IF(AND(E415&lt;&gt;"",G415&lt;&gt;"",J415&gt;0),IF(I415&gt;=Inputs!$B$6,1,0),0)</f>
        <v>0</v>
      </c>
      <c r="L415" s="5" t="n">
        <v>1</v>
      </c>
      <c r="M415" s="5" t="n">
        <v>54.656</v>
      </c>
      <c r="N415" s="5" t="n">
        <v>0.28</v>
      </c>
      <c r="O415" s="4" t="s">
        <v>64</v>
      </c>
      <c r="P415" s="2" t="n">
        <f aca="false">IF(K415=1,J415/G415^2,0)</f>
        <v>0</v>
      </c>
      <c r="Q415" s="2" t="n">
        <f aca="false">IF(K415=1,((E415-Result!$B$7*D415)/G415)^2,0)</f>
        <v>0</v>
      </c>
    </row>
    <row r="416" customFormat="false" ht="15" hidden="false" customHeight="false" outlineLevel="0" collapsed="false">
      <c r="A416" s="4" t="s">
        <v>37</v>
      </c>
      <c r="B416" s="4" t="s">
        <v>482</v>
      </c>
      <c r="C416" s="4" t="s">
        <v>63</v>
      </c>
      <c r="D416" s="5" t="n">
        <v>71.6675</v>
      </c>
      <c r="E416" s="5" t="n">
        <v>0.79</v>
      </c>
      <c r="F416" s="5" t="n">
        <v>0.00507795720149362</v>
      </c>
      <c r="G416" s="5" t="n">
        <v>1.2613</v>
      </c>
      <c r="H416" s="2" t="n">
        <f aca="false">D416*F416</f>
        <v>0.363924497738044</v>
      </c>
      <c r="I416" s="2" t="n">
        <f aca="false">IF(G416="","",D416*1000000/Inputs!$B$4^2*Inputs!$B$5/G416)</f>
        <v>0.288744541113198</v>
      </c>
      <c r="J416" s="2" t="n">
        <f aca="false">IF(C416="A",Inputs!$B$7,IF(C416="B",Inputs!$B$8,IF(C416="C",Inputs!$B$9,0)))</f>
        <v>1</v>
      </c>
      <c r="K416" s="2" t="n">
        <f aca="false">IF(AND(E416&lt;&gt;"",G416&lt;&gt;"",J416&gt;0),IF(I416&gt;=Inputs!$B$6,1,0),0)</f>
        <v>0</v>
      </c>
      <c r="L416" s="5" t="n">
        <v>1</v>
      </c>
      <c r="M416" s="5" t="n">
        <v>71.6672</v>
      </c>
      <c r="N416" s="5" t="n">
        <v>0.36</v>
      </c>
      <c r="O416" s="4" t="s">
        <v>64</v>
      </c>
      <c r="P416" s="2" t="n">
        <f aca="false">IF(K416=1,J416/G416^2,0)</f>
        <v>0</v>
      </c>
      <c r="Q416" s="2" t="n">
        <f aca="false">IF(K416=1,((E416-Result!$B$7*D416)/G416)^2,0)</f>
        <v>0</v>
      </c>
    </row>
    <row r="417" customFormat="false" ht="15" hidden="false" customHeight="false" outlineLevel="0" collapsed="false">
      <c r="A417" s="4" t="s">
        <v>37</v>
      </c>
      <c r="B417" s="4" t="s">
        <v>483</v>
      </c>
      <c r="C417" s="4" t="s">
        <v>63</v>
      </c>
      <c r="D417" s="5" t="n">
        <v>164.2741</v>
      </c>
      <c r="E417" s="5" t="n">
        <v>-0.84</v>
      </c>
      <c r="F417" s="5" t="n">
        <v>0.00507797300782375</v>
      </c>
      <c r="G417" s="5" t="n">
        <v>1.2613</v>
      </c>
      <c r="H417" s="2" t="n">
        <f aca="false">D417*F417</f>
        <v>0.834179445684539</v>
      </c>
      <c r="I417" s="2" t="n">
        <f aca="false">IF(G417="","",D417*1000000/Inputs!$B$4^2*Inputs!$B$5/G417)</f>
        <v>0.661851601092318</v>
      </c>
      <c r="J417" s="2" t="n">
        <f aca="false">IF(C417="A",Inputs!$B$7,IF(C417="B",Inputs!$B$8,IF(C417="C",Inputs!$B$9,0)))</f>
        <v>1</v>
      </c>
      <c r="K417" s="2" t="n">
        <f aca="false">IF(AND(E417&lt;&gt;"",G417&lt;&gt;"",J417&gt;0),IF(I417&gt;=Inputs!$B$6,1,0),0)</f>
        <v>0</v>
      </c>
      <c r="L417" s="5" t="n">
        <v>0</v>
      </c>
      <c r="M417" s="5" t="n">
        <v>164.2736</v>
      </c>
      <c r="N417" s="5" t="n">
        <v>0.83</v>
      </c>
      <c r="O417" s="4" t="s">
        <v>64</v>
      </c>
      <c r="P417" s="2" t="n">
        <f aca="false">IF(K417=1,J417/G417^2,0)</f>
        <v>0</v>
      </c>
      <c r="Q417" s="2" t="n">
        <f aca="false">IF(K417=1,((E417-Result!$B$7*D417)/G417)^2,0)</f>
        <v>0</v>
      </c>
    </row>
    <row r="418" customFormat="false" ht="15" hidden="false" customHeight="false" outlineLevel="0" collapsed="false">
      <c r="A418" s="4" t="s">
        <v>37</v>
      </c>
      <c r="B418" s="4" t="s">
        <v>484</v>
      </c>
      <c r="C418" s="4" t="s">
        <v>63</v>
      </c>
      <c r="D418" s="5" t="n">
        <v>182.9553</v>
      </c>
      <c r="E418" s="5" t="n">
        <v>-0.41</v>
      </c>
      <c r="F418" s="5" t="n">
        <v>0.00507801103947474</v>
      </c>
      <c r="G418" s="5" t="n">
        <v>1.2613</v>
      </c>
      <c r="H418" s="2" t="n">
        <f aca="false">D418*F418</f>
        <v>0.929049033130413</v>
      </c>
      <c r="I418" s="2" t="n">
        <f aca="false">IF(G418="","",D418*1000000/Inputs!$B$4^2*Inputs!$B$5/G418)</f>
        <v>0.737117161094325</v>
      </c>
      <c r="J418" s="2" t="n">
        <f aca="false">IF(C418="A",Inputs!$B$7,IF(C418="B",Inputs!$B$8,IF(C418="C",Inputs!$B$9,0)))</f>
        <v>1</v>
      </c>
      <c r="K418" s="2" t="n">
        <f aca="false">IF(AND(E418&lt;&gt;"",G418&lt;&gt;"",J418&gt;0),IF(I418&gt;=Inputs!$B$6,1,0),0)</f>
        <v>0</v>
      </c>
      <c r="L418" s="5" t="n">
        <v>1</v>
      </c>
      <c r="M418" s="5" t="n">
        <v>182.9547</v>
      </c>
      <c r="N418" s="5" t="n">
        <v>0.93</v>
      </c>
      <c r="O418" s="4" t="s">
        <v>64</v>
      </c>
      <c r="P418" s="2" t="n">
        <f aca="false">IF(K418=1,J418/G418^2,0)</f>
        <v>0</v>
      </c>
      <c r="Q418" s="2" t="n">
        <f aca="false">IF(K418=1,((E418-Result!$B$7*D418)/G418)^2,0)</f>
        <v>0</v>
      </c>
    </row>
    <row r="419" customFormat="false" ht="15" hidden="false" customHeight="false" outlineLevel="0" collapsed="false">
      <c r="A419" s="4" t="s">
        <v>37</v>
      </c>
      <c r="B419" s="4" t="s">
        <v>485</v>
      </c>
      <c r="C419" s="4" t="s">
        <v>63</v>
      </c>
      <c r="D419" s="5" t="n">
        <v>90.3487</v>
      </c>
      <c r="E419" s="5" t="n">
        <v>1.22</v>
      </c>
      <c r="F419" s="5" t="n">
        <v>0.0050780375351355</v>
      </c>
      <c r="G419" s="5" t="n">
        <v>1.2613</v>
      </c>
      <c r="H419" s="2" t="n">
        <f aca="false">D419*F419</f>
        <v>0.458794089850697</v>
      </c>
      <c r="I419" s="2" t="n">
        <f aca="false">IF(G419="","",D419*1000000/Inputs!$B$4^2*Inputs!$B$5/G419)</f>
        <v>0.364010101115206</v>
      </c>
      <c r="J419" s="2" t="n">
        <f aca="false">IF(C419="A",Inputs!$B$7,IF(C419="B",Inputs!$B$8,IF(C419="C",Inputs!$B$9,0)))</f>
        <v>1</v>
      </c>
      <c r="K419" s="2" t="n">
        <f aca="false">IF(AND(E419&lt;&gt;"",G419&lt;&gt;"",J419&gt;0),IF(I419&gt;=Inputs!$B$6,1,0),0)</f>
        <v>0</v>
      </c>
      <c r="L419" s="5" t="n">
        <v>0</v>
      </c>
      <c r="M419" s="5" t="n">
        <v>90.3484</v>
      </c>
      <c r="N419" s="5" t="n">
        <v>0.46</v>
      </c>
      <c r="O419" s="4" t="s">
        <v>64</v>
      </c>
      <c r="P419" s="2" t="n">
        <f aca="false">IF(K419=1,J419/G419^2,0)</f>
        <v>0</v>
      </c>
      <c r="Q419" s="2" t="n">
        <f aca="false">IF(K419=1,((E419-Result!$B$7*D419)/G419)^2,0)</f>
        <v>0</v>
      </c>
    </row>
    <row r="420" customFormat="false" ht="15" hidden="false" customHeight="false" outlineLevel="0" collapsed="false">
      <c r="A420" s="4" t="s">
        <v>37</v>
      </c>
      <c r="B420" s="4" t="s">
        <v>486</v>
      </c>
      <c r="C420" s="4" t="s">
        <v>63</v>
      </c>
      <c r="D420" s="5" t="n">
        <v>92.6045</v>
      </c>
      <c r="E420" s="5" t="n">
        <v>-2.98</v>
      </c>
      <c r="F420" s="5" t="n">
        <v>0.00507791700307112</v>
      </c>
      <c r="G420" s="5" t="n">
        <v>1.2613</v>
      </c>
      <c r="H420" s="2" t="n">
        <f aca="false">D420*F420</f>
        <v>0.4702379651109</v>
      </c>
      <c r="I420" s="2" t="n">
        <f aca="false">IF(G420="","",D420*1000000/Inputs!$B$4^2*Inputs!$B$5/G420)</f>
        <v>0.373098599190947</v>
      </c>
      <c r="J420" s="2" t="n">
        <f aca="false">IF(C420="A",Inputs!$B$7,IF(C420="B",Inputs!$B$8,IF(C420="C",Inputs!$B$9,0)))</f>
        <v>1</v>
      </c>
      <c r="K420" s="2" t="n">
        <f aca="false">IF(AND(E420&lt;&gt;"",G420&lt;&gt;"",J420&gt;0),IF(I420&gt;=Inputs!$B$6,1,0),0)</f>
        <v>0</v>
      </c>
      <c r="L420" s="5" t="n">
        <v>0</v>
      </c>
      <c r="M420" s="5" t="n">
        <v>92.6041</v>
      </c>
      <c r="N420" s="5" t="n">
        <v>0.47</v>
      </c>
      <c r="O420" s="4" t="s">
        <v>64</v>
      </c>
      <c r="P420" s="2" t="n">
        <f aca="false">IF(K420=1,J420/G420^2,0)</f>
        <v>0</v>
      </c>
      <c r="Q420" s="2" t="n">
        <f aca="false">IF(K420=1,((E420-Result!$B$7*D420)/G420)^2,0)</f>
        <v>0</v>
      </c>
    </row>
    <row r="421" customFormat="false" ht="15" hidden="false" customHeight="false" outlineLevel="0" collapsed="false">
      <c r="A421" s="4" t="s">
        <v>37</v>
      </c>
      <c r="B421" s="4" t="s">
        <v>487</v>
      </c>
      <c r="C421" s="4" t="s">
        <v>63</v>
      </c>
      <c r="D421" s="5" t="n">
        <v>130.0884</v>
      </c>
      <c r="E421" s="5" t="n">
        <v>0.36</v>
      </c>
      <c r="F421" s="5" t="n">
        <v>0.00507797085566397</v>
      </c>
      <c r="G421" s="5" t="n">
        <v>1.2613</v>
      </c>
      <c r="H421" s="2" t="n">
        <f aca="false">D421*F421</f>
        <v>0.660585103859957</v>
      </c>
      <c r="I421" s="2" t="n">
        <f aca="false">IF(G421="","",D421*1000000/Inputs!$B$4^2*Inputs!$B$5/G421)</f>
        <v>0.524119236224931</v>
      </c>
      <c r="J421" s="2" t="n">
        <f aca="false">IF(C421="A",Inputs!$B$7,IF(C421="B",Inputs!$B$8,IF(C421="C",Inputs!$B$9,0)))</f>
        <v>1</v>
      </c>
      <c r="K421" s="2" t="n">
        <f aca="false">IF(AND(E421&lt;&gt;"",G421&lt;&gt;"",J421&gt;0),IF(I421&gt;=Inputs!$B$6,1,0),0)</f>
        <v>0</v>
      </c>
      <c r="L421" s="5" t="n">
        <v>0</v>
      </c>
      <c r="M421" s="5" t="n">
        <v>130.088</v>
      </c>
      <c r="N421" s="5" t="n">
        <v>0.66</v>
      </c>
      <c r="O421" s="4" t="s">
        <v>64</v>
      </c>
      <c r="P421" s="2" t="n">
        <f aca="false">IF(K421=1,J421/G421^2,0)</f>
        <v>0</v>
      </c>
      <c r="Q421" s="2" t="n">
        <f aca="false">IF(K421=1,((E421-Result!$B$7*D421)/G421)^2,0)</f>
        <v>0</v>
      </c>
    </row>
    <row r="422" customFormat="false" ht="15" hidden="false" customHeight="false" outlineLevel="0" collapsed="false">
      <c r="A422" s="4" t="s">
        <v>37</v>
      </c>
      <c r="B422" s="4" t="s">
        <v>488</v>
      </c>
      <c r="C422" s="4" t="s">
        <v>63</v>
      </c>
      <c r="D422" s="5" t="n">
        <v>201.7581</v>
      </c>
      <c r="E422" s="5" t="n">
        <v>2.5</v>
      </c>
      <c r="F422" s="5" t="n">
        <v>0.00507799735855651</v>
      </c>
      <c r="G422" s="5" t="n">
        <v>1.2613</v>
      </c>
      <c r="H422" s="2" t="n">
        <f aca="false">D422*F422</f>
        <v>1.02452709886738</v>
      </c>
      <c r="I422" s="2" t="n">
        <f aca="false">IF(G422="","",D422*1000000/Inputs!$B$4^2*Inputs!$B$5/G422)</f>
        <v>0.812872641020976</v>
      </c>
      <c r="J422" s="2" t="n">
        <f aca="false">IF(C422="A",Inputs!$B$7,IF(C422="B",Inputs!$B$8,IF(C422="C",Inputs!$B$9,0)))</f>
        <v>1</v>
      </c>
      <c r="K422" s="2" t="n">
        <f aca="false">IF(AND(E422&lt;&gt;"",G422&lt;&gt;"",J422&gt;0),IF(I422&gt;=Inputs!$B$6,1,0),0)</f>
        <v>0</v>
      </c>
      <c r="L422" s="5" t="n">
        <v>0</v>
      </c>
      <c r="M422" s="5" t="n">
        <v>201.7574</v>
      </c>
      <c r="N422" s="5" t="n">
        <v>1.02</v>
      </c>
      <c r="O422" s="4" t="s">
        <v>64</v>
      </c>
      <c r="P422" s="2" t="n">
        <f aca="false">IF(K422=1,J422/G422^2,0)</f>
        <v>0</v>
      </c>
      <c r="Q422" s="2" t="n">
        <f aca="false">IF(K422=1,((E422-Result!$B$7*D422)/G422)^2,0)</f>
        <v>0</v>
      </c>
    </row>
    <row r="423" customFormat="false" ht="15" hidden="false" customHeight="false" outlineLevel="0" collapsed="false">
      <c r="A423" s="4" t="s">
        <v>37</v>
      </c>
      <c r="B423" s="4" t="s">
        <v>489</v>
      </c>
      <c r="C423" s="4" t="s">
        <v>63</v>
      </c>
      <c r="D423" s="5" t="n">
        <v>52.9499</v>
      </c>
      <c r="E423" s="5" t="n">
        <v>1.43</v>
      </c>
      <c r="F423" s="5" t="n">
        <v>0.00507791644813114</v>
      </c>
      <c r="G423" s="5" t="n">
        <v>1.2613</v>
      </c>
      <c r="H423" s="2" t="n">
        <f aca="false">D423*F423</f>
        <v>0.268875168136899</v>
      </c>
      <c r="I423" s="2" t="n">
        <f aca="false">IF(G423="","",D423*1000000/Inputs!$B$4^2*Inputs!$B$5/G423)</f>
        <v>0.213332327449538</v>
      </c>
      <c r="J423" s="2" t="n">
        <f aca="false">IF(C423="A",Inputs!$B$7,IF(C423="B",Inputs!$B$8,IF(C423="C",Inputs!$B$9,0)))</f>
        <v>1</v>
      </c>
      <c r="K423" s="2" t="n">
        <f aca="false">IF(AND(E423&lt;&gt;"",G423&lt;&gt;"",J423&gt;0),IF(I423&gt;=Inputs!$B$6,1,0),0)</f>
        <v>0</v>
      </c>
      <c r="L423" s="5" t="n">
        <v>0</v>
      </c>
      <c r="M423" s="5" t="n">
        <v>52.95</v>
      </c>
      <c r="N423" s="5" t="n">
        <v>0.27</v>
      </c>
      <c r="O423" s="4" t="s">
        <v>64</v>
      </c>
      <c r="P423" s="2" t="n">
        <f aca="false">IF(K423=1,J423/G423^2,0)</f>
        <v>0</v>
      </c>
      <c r="Q423" s="2" t="n">
        <f aca="false">IF(K423=1,((E423-Result!$B$7*D423)/G423)^2,0)</f>
        <v>0</v>
      </c>
    </row>
    <row r="424" customFormat="false" ht="15" hidden="false" customHeight="false" outlineLevel="0" collapsed="false">
      <c r="A424" s="4" t="s">
        <v>37</v>
      </c>
      <c r="B424" s="4" t="s">
        <v>490</v>
      </c>
      <c r="C424" s="4" t="s">
        <v>63</v>
      </c>
      <c r="D424" s="5" t="n">
        <v>312.7566</v>
      </c>
      <c r="E424" s="5" t="n">
        <v>1.45</v>
      </c>
      <c r="F424" s="5" t="n">
        <v>0.00507797245309297</v>
      </c>
      <c r="G424" s="5" t="n">
        <v>1.2613</v>
      </c>
      <c r="H424" s="2" t="n">
        <f aca="false">D424*F424</f>
        <v>1.58816939932302</v>
      </c>
      <c r="I424" s="2" t="n">
        <f aca="false">IF(G424="","",D424*1000000/Inputs!$B$4^2*Inputs!$B$5/G424)</f>
        <v>1.2600796867077</v>
      </c>
      <c r="J424" s="2" t="n">
        <f aca="false">IF(C424="A",Inputs!$B$7,IF(C424="B",Inputs!$B$8,IF(C424="C",Inputs!$B$9,0)))</f>
        <v>1</v>
      </c>
      <c r="K424" s="2" t="n">
        <f aca="false">IF(AND(E424&lt;&gt;"",G424&lt;&gt;"",J424&gt;0),IF(I424&gt;=Inputs!$B$6,1,0),0)</f>
        <v>0</v>
      </c>
      <c r="L424" s="5" t="n">
        <v>1</v>
      </c>
      <c r="M424" s="5" t="n">
        <v>312.7559</v>
      </c>
      <c r="N424" s="5" t="n">
        <v>1.59</v>
      </c>
      <c r="O424" s="4" t="s">
        <v>64</v>
      </c>
      <c r="P424" s="2" t="n">
        <f aca="false">IF(K424=1,J424/G424^2,0)</f>
        <v>0</v>
      </c>
      <c r="Q424" s="2" t="n">
        <f aca="false">IF(K424=1,((E424-Result!$B$7*D424)/G424)^2,0)</f>
        <v>0</v>
      </c>
    </row>
    <row r="425" customFormat="false" ht="15" hidden="false" customHeight="false" outlineLevel="0" collapsed="false">
      <c r="A425" s="4" t="s">
        <v>37</v>
      </c>
      <c r="B425" s="4" t="s">
        <v>491</v>
      </c>
      <c r="C425" s="4" t="s">
        <v>63</v>
      </c>
      <c r="D425" s="5" t="n">
        <v>129.7184</v>
      </c>
      <c r="E425" s="5" t="n">
        <v>-0.34</v>
      </c>
      <c r="F425" s="5" t="n">
        <v>0.00507799680391721</v>
      </c>
      <c r="G425" s="5" t="n">
        <v>1.2613</v>
      </c>
      <c r="H425" s="2" t="n">
        <f aca="false">D425*F425</f>
        <v>0.658709620609254</v>
      </c>
      <c r="I425" s="2" t="n">
        <f aca="false">IF(G425="","",D425*1000000/Inputs!$B$4^2*Inputs!$B$5/G425)</f>
        <v>0.522628525927908</v>
      </c>
      <c r="J425" s="2" t="n">
        <f aca="false">IF(C425="A",Inputs!$B$7,IF(C425="B",Inputs!$B$8,IF(C425="C",Inputs!$B$9,0)))</f>
        <v>1</v>
      </c>
      <c r="K425" s="2" t="n">
        <f aca="false">IF(AND(E425&lt;&gt;"",G425&lt;&gt;"",J425&gt;0),IF(I425&gt;=Inputs!$B$6,1,0),0)</f>
        <v>0</v>
      </c>
      <c r="L425" s="5" t="n">
        <v>0</v>
      </c>
      <c r="M425" s="5" t="n">
        <v>129.7179</v>
      </c>
      <c r="N425" s="5" t="n">
        <v>0.66</v>
      </c>
      <c r="O425" s="4" t="s">
        <v>64</v>
      </c>
      <c r="P425" s="2" t="n">
        <f aca="false">IF(K425=1,J425/G425^2,0)</f>
        <v>0</v>
      </c>
      <c r="Q425" s="2" t="n">
        <f aca="false">IF(K425=1,((E425-Result!$B$7*D425)/G425)^2,0)</f>
        <v>0</v>
      </c>
    </row>
    <row r="426" customFormat="false" ht="15" hidden="false" customHeight="false" outlineLevel="0" collapsed="false">
      <c r="A426" s="4" t="s">
        <v>37</v>
      </c>
      <c r="B426" s="4" t="s">
        <v>492</v>
      </c>
      <c r="C426" s="4" t="s">
        <v>63</v>
      </c>
      <c r="D426" s="5" t="n">
        <v>196.7505</v>
      </c>
      <c r="E426" s="5" t="n">
        <v>-2.27</v>
      </c>
      <c r="F426" s="5" t="n">
        <v>0.00507807477541535</v>
      </c>
      <c r="G426" s="5" t="n">
        <v>1.2613</v>
      </c>
      <c r="H426" s="2" t="n">
        <f aca="false">D426*F426</f>
        <v>0.999113751100357</v>
      </c>
      <c r="I426" s="2" t="n">
        <f aca="false">IF(G426="","",D426*1000000/Inputs!$B$4^2*Inputs!$B$5/G426)</f>
        <v>0.792697287282134</v>
      </c>
      <c r="J426" s="2" t="n">
        <f aca="false">IF(C426="A",Inputs!$B$7,IF(C426="B",Inputs!$B$8,IF(C426="C",Inputs!$B$9,0)))</f>
        <v>1</v>
      </c>
      <c r="K426" s="2" t="n">
        <f aca="false">IF(AND(E426&lt;&gt;"",G426&lt;&gt;"",J426&gt;0),IF(I426&gt;=Inputs!$B$6,1,0),0)</f>
        <v>0</v>
      </c>
      <c r="L426" s="5" t="n">
        <v>1</v>
      </c>
      <c r="M426" s="5" t="n">
        <v>196.7496</v>
      </c>
      <c r="N426" s="5" t="n">
        <v>1</v>
      </c>
      <c r="O426" s="4" t="s">
        <v>64</v>
      </c>
      <c r="P426" s="2" t="n">
        <f aca="false">IF(K426=1,J426/G426^2,0)</f>
        <v>0</v>
      </c>
      <c r="Q426" s="2" t="n">
        <f aca="false">IF(K426=1,((E426-Result!$B$7*D426)/G426)^2,0)</f>
        <v>0</v>
      </c>
    </row>
    <row r="427" customFormat="false" ht="15" hidden="false" customHeight="false" outlineLevel="0" collapsed="false">
      <c r="A427" s="4" t="s">
        <v>37</v>
      </c>
      <c r="B427" s="4" t="s">
        <v>493</v>
      </c>
      <c r="C427" s="4" t="s">
        <v>63</v>
      </c>
      <c r="D427" s="5" t="n">
        <v>176.2878</v>
      </c>
      <c r="E427" s="5" t="n">
        <v>0.07</v>
      </c>
      <c r="F427" s="5" t="n">
        <v>0.00507807316406867</v>
      </c>
      <c r="G427" s="5" t="n">
        <v>1.2613</v>
      </c>
      <c r="H427" s="2" t="n">
        <f aca="false">D427*F427</f>
        <v>0.895202346332706</v>
      </c>
      <c r="I427" s="2" t="n">
        <f aca="false">IF(G427="","",D427*1000000/Inputs!$B$4^2*Inputs!$B$5/G427)</f>
        <v>0.710254158647299</v>
      </c>
      <c r="J427" s="2" t="n">
        <f aca="false">IF(C427="A",Inputs!$B$7,IF(C427="B",Inputs!$B$8,IF(C427="C",Inputs!$B$9,0)))</f>
        <v>1</v>
      </c>
      <c r="K427" s="2" t="n">
        <f aca="false">IF(AND(E427&lt;&gt;"",G427&lt;&gt;"",J427&gt;0),IF(I427&gt;=Inputs!$B$6,1,0),0)</f>
        <v>0</v>
      </c>
      <c r="L427" s="5" t="n">
        <v>0</v>
      </c>
      <c r="M427" s="5" t="n">
        <v>176.2872</v>
      </c>
      <c r="N427" s="5" t="n">
        <v>0.9</v>
      </c>
      <c r="O427" s="4" t="s">
        <v>64</v>
      </c>
      <c r="P427" s="2" t="n">
        <f aca="false">IF(K427=1,J427/G427^2,0)</f>
        <v>0</v>
      </c>
      <c r="Q427" s="2" t="n">
        <f aca="false">IF(K427=1,((E427-Result!$B$7*D427)/G427)^2,0)</f>
        <v>0</v>
      </c>
    </row>
    <row r="428" customFormat="false" ht="15" hidden="false" customHeight="false" outlineLevel="0" collapsed="false">
      <c r="A428" s="4" t="s">
        <v>37</v>
      </c>
      <c r="B428" s="4" t="s">
        <v>494</v>
      </c>
      <c r="C428" s="4" t="s">
        <v>63</v>
      </c>
      <c r="D428" s="5" t="n">
        <v>184.9123</v>
      </c>
      <c r="E428" s="5" t="n">
        <v>-0.77</v>
      </c>
      <c r="F428" s="5" t="n">
        <v>0.00507802711716471</v>
      </c>
      <c r="G428" s="5" t="n">
        <v>1.2613</v>
      </c>
      <c r="H428" s="2" t="n">
        <f aca="false">D428*F428</f>
        <v>0.938989673697295</v>
      </c>
      <c r="I428" s="2" t="n">
        <f aca="false">IF(G428="","",D428*1000000/Inputs!$B$4^2*Inputs!$B$5/G428)</f>
        <v>0.745001809881552</v>
      </c>
      <c r="J428" s="2" t="n">
        <f aca="false">IF(C428="A",Inputs!$B$7,IF(C428="B",Inputs!$B$8,IF(C428="C",Inputs!$B$9,0)))</f>
        <v>1</v>
      </c>
      <c r="K428" s="2" t="n">
        <f aca="false">IF(AND(E428&lt;&gt;"",G428&lt;&gt;"",J428&gt;0),IF(I428&gt;=Inputs!$B$6,1,0),0)</f>
        <v>0</v>
      </c>
      <c r="L428" s="5" t="n">
        <v>0</v>
      </c>
      <c r="M428" s="5" t="n">
        <v>184.9116</v>
      </c>
      <c r="N428" s="5" t="n">
        <v>0.94</v>
      </c>
      <c r="O428" s="4" t="s">
        <v>64</v>
      </c>
      <c r="P428" s="2" t="n">
        <f aca="false">IF(K428=1,J428/G428^2,0)</f>
        <v>0</v>
      </c>
      <c r="Q428" s="2" t="n">
        <f aca="false">IF(K428=1,((E428-Result!$B$7*D428)/G428)^2,0)</f>
        <v>0</v>
      </c>
    </row>
    <row r="429" customFormat="false" ht="15" hidden="false" customHeight="false" outlineLevel="0" collapsed="false">
      <c r="A429" s="4" t="s">
        <v>37</v>
      </c>
      <c r="B429" s="4" t="s">
        <v>495</v>
      </c>
      <c r="C429" s="4" t="s">
        <v>63</v>
      </c>
      <c r="D429" s="5" t="n">
        <v>112.2781</v>
      </c>
      <c r="E429" s="5" t="n">
        <v>-0.95</v>
      </c>
      <c r="F429" s="5" t="n">
        <v>0.0050780035008915</v>
      </c>
      <c r="G429" s="5" t="n">
        <v>1.2613</v>
      </c>
      <c r="H429" s="2" t="n">
        <f aca="false">D429*F429</f>
        <v>0.570148584873446</v>
      </c>
      <c r="I429" s="2" t="n">
        <f aca="false">IF(G429="","",D429*1000000/Inputs!$B$4^2*Inputs!$B$5/G429)</f>
        <v>0.452362485946375</v>
      </c>
      <c r="J429" s="2" t="n">
        <f aca="false">IF(C429="A",Inputs!$B$7,IF(C429="B",Inputs!$B$8,IF(C429="C",Inputs!$B$9,0)))</f>
        <v>1</v>
      </c>
      <c r="K429" s="2" t="n">
        <f aca="false">IF(AND(E429&lt;&gt;"",G429&lt;&gt;"",J429&gt;0),IF(I429&gt;=Inputs!$B$6,1,0),0)</f>
        <v>0</v>
      </c>
      <c r="L429" s="5" t="n">
        <v>0</v>
      </c>
      <c r="M429" s="5" t="n">
        <v>112.2776</v>
      </c>
      <c r="N429" s="5" t="n">
        <v>0.57</v>
      </c>
      <c r="O429" s="4" t="s">
        <v>64</v>
      </c>
      <c r="P429" s="2" t="n">
        <f aca="false">IF(K429=1,J429/G429^2,0)</f>
        <v>0</v>
      </c>
      <c r="Q429" s="2" t="n">
        <f aca="false">IF(K429=1,((E429-Result!$B$7*D429)/G429)^2,0)</f>
        <v>0</v>
      </c>
    </row>
    <row r="430" customFormat="false" ht="15" hidden="false" customHeight="false" outlineLevel="0" collapsed="false">
      <c r="A430" s="4" t="s">
        <v>37</v>
      </c>
      <c r="B430" s="4" t="s">
        <v>496</v>
      </c>
      <c r="C430" s="4" t="s">
        <v>63</v>
      </c>
      <c r="D430" s="5" t="n">
        <v>103.6536</v>
      </c>
      <c r="E430" s="5" t="n">
        <v>-0.11</v>
      </c>
      <c r="F430" s="5" t="n">
        <v>0.00507807987258298</v>
      </c>
      <c r="G430" s="5" t="n">
        <v>1.2613</v>
      </c>
      <c r="H430" s="2" t="n">
        <f aca="false">D430*F430</f>
        <v>0.526361259880767</v>
      </c>
      <c r="I430" s="2" t="n">
        <f aca="false">IF(G430="","",D430*1000000/Inputs!$B$4^2*Inputs!$B$5/G430)</f>
        <v>0.417614834712122</v>
      </c>
      <c r="J430" s="2" t="n">
        <f aca="false">IF(C430="A",Inputs!$B$7,IF(C430="B",Inputs!$B$8,IF(C430="C",Inputs!$B$9,0)))</f>
        <v>1</v>
      </c>
      <c r="K430" s="2" t="n">
        <f aca="false">IF(AND(E430&lt;&gt;"",G430&lt;&gt;"",J430&gt;0),IF(I430&gt;=Inputs!$B$6,1,0),0)</f>
        <v>0</v>
      </c>
      <c r="L430" s="5" t="n">
        <v>0</v>
      </c>
      <c r="M430" s="5" t="n">
        <v>103.6532</v>
      </c>
      <c r="N430" s="5" t="n">
        <v>0.53</v>
      </c>
      <c r="O430" s="4" t="s">
        <v>64</v>
      </c>
      <c r="P430" s="2" t="n">
        <f aca="false">IF(K430=1,J430/G430^2,0)</f>
        <v>0</v>
      </c>
      <c r="Q430" s="2" t="n">
        <f aca="false">IF(K430=1,((E430-Result!$B$7*D430)/G430)^2,0)</f>
        <v>0</v>
      </c>
    </row>
    <row r="431" customFormat="false" ht="15" hidden="false" customHeight="false" outlineLevel="0" collapsed="false">
      <c r="A431" s="4" t="s">
        <v>37</v>
      </c>
      <c r="B431" s="4" t="s">
        <v>497</v>
      </c>
      <c r="C431" s="4" t="s">
        <v>63</v>
      </c>
      <c r="D431" s="5" t="n">
        <v>105.8425</v>
      </c>
      <c r="E431" s="5" t="n">
        <v>-1.98</v>
      </c>
      <c r="F431" s="5" t="n">
        <v>0.00507800576641907</v>
      </c>
      <c r="G431" s="5" t="n">
        <v>1.2613</v>
      </c>
      <c r="H431" s="2" t="n">
        <f aca="false">D431*F431</f>
        <v>0.53746882533221</v>
      </c>
      <c r="I431" s="2" t="n">
        <f aca="false">IF(G431="","",D431*1000000/Inputs!$B$4^2*Inputs!$B$5/G431)</f>
        <v>0.426433796250374</v>
      </c>
      <c r="J431" s="2" t="n">
        <f aca="false">IF(C431="A",Inputs!$B$7,IF(C431="B",Inputs!$B$8,IF(C431="C",Inputs!$B$9,0)))</f>
        <v>1</v>
      </c>
      <c r="K431" s="2" t="n">
        <f aca="false">IF(AND(E431&lt;&gt;"",G431&lt;&gt;"",J431&gt;0),IF(I431&gt;=Inputs!$B$6,1,0),0)</f>
        <v>0</v>
      </c>
      <c r="L431" s="5" t="n">
        <v>1</v>
      </c>
      <c r="M431" s="5" t="n">
        <v>105.8422</v>
      </c>
      <c r="N431" s="5" t="n">
        <v>0.54</v>
      </c>
      <c r="O431" s="4" t="s">
        <v>64</v>
      </c>
      <c r="P431" s="2" t="n">
        <f aca="false">IF(K431=1,J431/G431^2,0)</f>
        <v>0</v>
      </c>
      <c r="Q431" s="2" t="n">
        <f aca="false">IF(K431=1,((E431-Result!$B$7*D431)/G431)^2,0)</f>
        <v>0</v>
      </c>
    </row>
    <row r="432" customFormat="false" ht="15" hidden="false" customHeight="false" outlineLevel="0" collapsed="false">
      <c r="A432" s="4" t="s">
        <v>37</v>
      </c>
      <c r="B432" s="4" t="s">
        <v>498</v>
      </c>
      <c r="C432" s="4" t="s">
        <v>63</v>
      </c>
      <c r="D432" s="5" t="n">
        <v>80.9541</v>
      </c>
      <c r="E432" s="5" t="n">
        <v>-0.37</v>
      </c>
      <c r="F432" s="5" t="n">
        <v>0.00507805852953038</v>
      </c>
      <c r="G432" s="5" t="n">
        <v>1.2613</v>
      </c>
      <c r="H432" s="2" t="n">
        <f aca="false">D432*F432</f>
        <v>0.411089658005455</v>
      </c>
      <c r="I432" s="2" t="n">
        <f aca="false">IF(G432="","",D432*1000000/Inputs!$B$4^2*Inputs!$B$5/G432)</f>
        <v>0.326159757989772</v>
      </c>
      <c r="J432" s="2" t="n">
        <f aca="false">IF(C432="A",Inputs!$B$7,IF(C432="B",Inputs!$B$8,IF(C432="C",Inputs!$B$9,0)))</f>
        <v>1</v>
      </c>
      <c r="K432" s="2" t="n">
        <f aca="false">IF(AND(E432&lt;&gt;"",G432&lt;&gt;"",J432&gt;0),IF(I432&gt;=Inputs!$B$6,1,0),0)</f>
        <v>0</v>
      </c>
      <c r="L432" s="5" t="n">
        <v>0</v>
      </c>
      <c r="M432" s="5" t="n">
        <v>80.9537</v>
      </c>
      <c r="N432" s="5" t="n">
        <v>0.41</v>
      </c>
      <c r="O432" s="4" t="s">
        <v>64</v>
      </c>
      <c r="P432" s="2" t="n">
        <f aca="false">IF(K432=1,J432/G432^2,0)</f>
        <v>0</v>
      </c>
      <c r="Q432" s="2" t="n">
        <f aca="false">IF(K432=1,((E432-Result!$B$7*D432)/G432)^2,0)</f>
        <v>0</v>
      </c>
    </row>
    <row r="433" customFormat="false" ht="15" hidden="false" customHeight="false" outlineLevel="0" collapsed="false">
      <c r="A433" s="4" t="s">
        <v>37</v>
      </c>
      <c r="B433" s="4" t="s">
        <v>499</v>
      </c>
      <c r="C433" s="4" t="s">
        <v>63</v>
      </c>
      <c r="D433" s="5" t="n">
        <v>231.0368</v>
      </c>
      <c r="E433" s="5" t="n">
        <v>-0.53</v>
      </c>
      <c r="F433" s="5" t="n">
        <v>0.005078082136929</v>
      </c>
      <c r="G433" s="5" t="n">
        <v>1.2613</v>
      </c>
      <c r="H433" s="2" t="n">
        <f aca="false">D433*F433</f>
        <v>1.17322384705324</v>
      </c>
      <c r="I433" s="2" t="n">
        <f aca="false">IF(G433="","",D433*1000000/Inputs!$B$4^2*Inputs!$B$5/G433)</f>
        <v>0.930834964192442</v>
      </c>
      <c r="J433" s="2" t="n">
        <f aca="false">IF(C433="A",Inputs!$B$7,IF(C433="B",Inputs!$B$8,IF(C433="C",Inputs!$B$9,0)))</f>
        <v>1</v>
      </c>
      <c r="K433" s="2" t="n">
        <f aca="false">IF(AND(E433&lt;&gt;"",G433&lt;&gt;"",J433&gt;0),IF(I433&gt;=Inputs!$B$6,1,0),0)</f>
        <v>0</v>
      </c>
      <c r="L433" s="5" t="n">
        <v>0</v>
      </c>
      <c r="M433" s="5" t="n">
        <v>231.0362</v>
      </c>
      <c r="N433" s="5" t="n">
        <v>1.17</v>
      </c>
      <c r="O433" s="4" t="s">
        <v>64</v>
      </c>
      <c r="P433" s="2" t="n">
        <f aca="false">IF(K433=1,J433/G433^2,0)</f>
        <v>0</v>
      </c>
      <c r="Q433" s="2" t="n">
        <f aca="false">IF(K433=1,((E433-Result!$B$7*D433)/G433)^2,0)</f>
        <v>0</v>
      </c>
    </row>
    <row r="434" customFormat="false" ht="15" hidden="false" customHeight="false" outlineLevel="0" collapsed="false">
      <c r="A434" s="4" t="s">
        <v>37</v>
      </c>
      <c r="B434" s="4" t="s">
        <v>500</v>
      </c>
      <c r="C434" s="4" t="s">
        <v>63</v>
      </c>
      <c r="D434" s="5" t="n">
        <v>87.3895</v>
      </c>
      <c r="E434" s="5" t="n">
        <v>0.66</v>
      </c>
      <c r="F434" s="5" t="n">
        <v>0.00507805182003465</v>
      </c>
      <c r="G434" s="5" t="n">
        <v>1.2613</v>
      </c>
      <c r="H434" s="2" t="n">
        <f aca="false">D434*F434</f>
        <v>0.443768409526918</v>
      </c>
      <c r="I434" s="2" t="n">
        <f aca="false">IF(G434="","",D434*1000000/Inputs!$B$4^2*Inputs!$B$5/G434)</f>
        <v>0.352087641896423</v>
      </c>
      <c r="J434" s="2" t="n">
        <f aca="false">IF(C434="A",Inputs!$B$7,IF(C434="B",Inputs!$B$8,IF(C434="C",Inputs!$B$9,0)))</f>
        <v>1</v>
      </c>
      <c r="K434" s="2" t="n">
        <f aca="false">IF(AND(E434&lt;&gt;"",G434&lt;&gt;"",J434&gt;0),IF(I434&gt;=Inputs!$B$6,1,0),0)</f>
        <v>0</v>
      </c>
      <c r="L434" s="5" t="n">
        <v>0</v>
      </c>
      <c r="M434" s="5" t="n">
        <v>87.3891</v>
      </c>
      <c r="N434" s="5" t="n">
        <v>0.44</v>
      </c>
      <c r="O434" s="4" t="s">
        <v>64</v>
      </c>
      <c r="P434" s="2" t="n">
        <f aca="false">IF(K434=1,J434/G434^2,0)</f>
        <v>0</v>
      </c>
      <c r="Q434" s="2" t="n">
        <f aca="false">IF(K434=1,((E434-Result!$B$7*D434)/G434)^2,0)</f>
        <v>0</v>
      </c>
    </row>
    <row r="435" customFormat="false" ht="15" hidden="false" customHeight="false" outlineLevel="0" collapsed="false">
      <c r="A435" s="4" t="s">
        <v>37</v>
      </c>
      <c r="B435" s="4" t="s">
        <v>501</v>
      </c>
      <c r="C435" s="4" t="s">
        <v>63</v>
      </c>
      <c r="D435" s="5" t="n">
        <v>310.1064</v>
      </c>
      <c r="E435" s="5" t="n">
        <v>0.68</v>
      </c>
      <c r="F435" s="5" t="n">
        <v>0.00507807542851899</v>
      </c>
      <c r="G435" s="5" t="n">
        <v>1.2613</v>
      </c>
      <c r="H435" s="2" t="n">
        <f aca="false">D435*F435</f>
        <v>1.57474369006648</v>
      </c>
      <c r="I435" s="2" t="n">
        <f aca="false">IF(G435="","",D435*1000000/Inputs!$B$4^2*Inputs!$B$5/G435)</f>
        <v>1.24940217203427</v>
      </c>
      <c r="J435" s="2" t="n">
        <f aca="false">IF(C435="A",Inputs!$B$7,IF(C435="B",Inputs!$B$8,IF(C435="C",Inputs!$B$9,0)))</f>
        <v>1</v>
      </c>
      <c r="K435" s="2" t="n">
        <f aca="false">IF(AND(E435&lt;&gt;"",G435&lt;&gt;"",J435&gt;0),IF(I435&gt;=Inputs!$B$6,1,0),0)</f>
        <v>0</v>
      </c>
      <c r="L435" s="5" t="n">
        <v>1</v>
      </c>
      <c r="M435" s="5" t="n">
        <v>310.1056</v>
      </c>
      <c r="N435" s="5" t="n">
        <v>1.57</v>
      </c>
      <c r="O435" s="4" t="s">
        <v>64</v>
      </c>
      <c r="P435" s="2" t="n">
        <f aca="false">IF(K435=1,J435/G435^2,0)</f>
        <v>0</v>
      </c>
      <c r="Q435" s="2" t="n">
        <f aca="false">IF(K435=1,((E435-Result!$B$7*D435)/G435)^2,0)</f>
        <v>0</v>
      </c>
    </row>
    <row r="436" customFormat="false" ht="15" hidden="false" customHeight="false" outlineLevel="0" collapsed="false">
      <c r="A436" s="4" t="s">
        <v>37</v>
      </c>
      <c r="B436" s="4" t="s">
        <v>502</v>
      </c>
      <c r="C436" s="4" t="s">
        <v>63</v>
      </c>
      <c r="D436" s="5" t="n">
        <v>46.4293</v>
      </c>
      <c r="E436" s="5" t="n">
        <v>-0.05</v>
      </c>
      <c r="F436" s="5" t="n">
        <v>0.00507812816644508</v>
      </c>
      <c r="G436" s="5" t="n">
        <v>1.2613</v>
      </c>
      <c r="H436" s="2" t="n">
        <f aca="false">D436*F436</f>
        <v>0.235773936078329</v>
      </c>
      <c r="I436" s="2" t="n">
        <f aca="false">IF(G436="","",D436*1000000/Inputs!$B$4^2*Inputs!$B$5/G436)</f>
        <v>0.187061177279897</v>
      </c>
      <c r="J436" s="2" t="n">
        <f aca="false">IF(C436="A",Inputs!$B$7,IF(C436="B",Inputs!$B$8,IF(C436="C",Inputs!$B$9,0)))</f>
        <v>1</v>
      </c>
      <c r="K436" s="2" t="n">
        <f aca="false">IF(AND(E436&lt;&gt;"",G436&lt;&gt;"",J436&gt;0),IF(I436&gt;=Inputs!$B$6,1,0),0)</f>
        <v>0</v>
      </c>
      <c r="L436" s="5" t="n">
        <v>0</v>
      </c>
      <c r="M436" s="5" t="n">
        <v>46.4293</v>
      </c>
      <c r="N436" s="5" t="n">
        <v>0.24</v>
      </c>
      <c r="O436" s="4" t="s">
        <v>64</v>
      </c>
      <c r="P436" s="2" t="n">
        <f aca="false">IF(K436=1,J436/G436^2,0)</f>
        <v>0</v>
      </c>
      <c r="Q436" s="2" t="n">
        <f aca="false">IF(K436=1,((E436-Result!$B$7*D436)/G436)^2,0)</f>
        <v>0</v>
      </c>
    </row>
    <row r="437" customFormat="false" ht="15" hidden="false" customHeight="false" outlineLevel="0" collapsed="false">
      <c r="A437" s="4" t="s">
        <v>37</v>
      </c>
      <c r="B437" s="4" t="s">
        <v>503</v>
      </c>
      <c r="C437" s="4" t="s">
        <v>63</v>
      </c>
      <c r="D437" s="5" t="n">
        <v>216.3376</v>
      </c>
      <c r="E437" s="5" t="n">
        <v>-0.14</v>
      </c>
      <c r="F437" s="5" t="n">
        <v>0.00507800801996705</v>
      </c>
      <c r="G437" s="5" t="n">
        <v>1.2613</v>
      </c>
      <c r="H437" s="2" t="n">
        <f aca="false">D437*F437</f>
        <v>1.09856406782042</v>
      </c>
      <c r="I437" s="2" t="n">
        <f aca="false">IF(G437="","",D437*1000000/Inputs!$B$4^2*Inputs!$B$5/G437)</f>
        <v>0.871612670143799</v>
      </c>
      <c r="J437" s="2" t="n">
        <f aca="false">IF(C437="A",Inputs!$B$7,IF(C437="B",Inputs!$B$8,IF(C437="C",Inputs!$B$9,0)))</f>
        <v>1</v>
      </c>
      <c r="K437" s="2" t="n">
        <f aca="false">IF(AND(E437&lt;&gt;"",G437&lt;&gt;"",J437&gt;0),IF(I437&gt;=Inputs!$B$6,1,0),0)</f>
        <v>0</v>
      </c>
      <c r="L437" s="5" t="n">
        <v>1</v>
      </c>
      <c r="M437" s="5" t="n">
        <v>216.3368</v>
      </c>
      <c r="N437" s="5" t="n">
        <v>1.1</v>
      </c>
      <c r="O437" s="4" t="s">
        <v>64</v>
      </c>
      <c r="P437" s="2" t="n">
        <f aca="false">IF(K437=1,J437/G437^2,0)</f>
        <v>0</v>
      </c>
      <c r="Q437" s="2" t="n">
        <f aca="false">IF(K437=1,((E437-Result!$B$7*D437)/G437)^2,0)</f>
        <v>0</v>
      </c>
    </row>
    <row r="438" customFormat="false" ht="15" hidden="false" customHeight="false" outlineLevel="0" collapsed="false">
      <c r="A438" s="4" t="s">
        <v>37</v>
      </c>
      <c r="B438" s="4" t="s">
        <v>504</v>
      </c>
      <c r="C438" s="4" t="s">
        <v>63</v>
      </c>
      <c r="D438" s="5" t="n">
        <v>163.8461</v>
      </c>
      <c r="E438" s="5" t="n">
        <v>-3.81</v>
      </c>
      <c r="F438" s="5" t="n">
        <v>0.00507806582466796</v>
      </c>
      <c r="G438" s="5" t="n">
        <v>1.2613</v>
      </c>
      <c r="H438" s="2" t="n">
        <f aca="false">D438*F438</f>
        <v>0.832021280915129</v>
      </c>
      <c r="I438" s="2" t="n">
        <f aca="false">IF(G438="","",D438*1000000/Inputs!$B$4^2*Inputs!$B$5/G438)</f>
        <v>0.66012721188387</v>
      </c>
      <c r="J438" s="2" t="n">
        <f aca="false">IF(C438="A",Inputs!$B$7,IF(C438="B",Inputs!$B$8,IF(C438="C",Inputs!$B$9,0)))</f>
        <v>1</v>
      </c>
      <c r="K438" s="2" t="n">
        <f aca="false">IF(AND(E438&lt;&gt;"",G438&lt;&gt;"",J438&gt;0),IF(I438&gt;=Inputs!$B$6,1,0),0)</f>
        <v>0</v>
      </c>
      <c r="L438" s="5" t="n">
        <v>1</v>
      </c>
      <c r="M438" s="5" t="n">
        <v>163.8453</v>
      </c>
      <c r="N438" s="5" t="n">
        <v>0.83</v>
      </c>
      <c r="O438" s="4" t="s">
        <v>64</v>
      </c>
      <c r="P438" s="2" t="n">
        <f aca="false">IF(K438=1,J438/G438^2,0)</f>
        <v>0</v>
      </c>
      <c r="Q438" s="2" t="n">
        <f aca="false">IF(K438=1,((E438-Result!$B$7*D438)/G438)^2,0)</f>
        <v>0</v>
      </c>
    </row>
    <row r="439" customFormat="false" ht="15" hidden="false" customHeight="false" outlineLevel="0" collapsed="false">
      <c r="A439" s="4" t="s">
        <v>37</v>
      </c>
      <c r="B439" s="4" t="s">
        <v>505</v>
      </c>
      <c r="C439" s="4" t="s">
        <v>63</v>
      </c>
      <c r="D439" s="5" t="n">
        <v>126.0915</v>
      </c>
      <c r="E439" s="5" t="n">
        <v>-1.18</v>
      </c>
      <c r="F439" s="5" t="n">
        <v>0.00507806638163518</v>
      </c>
      <c r="G439" s="5" t="n">
        <v>1.2613</v>
      </c>
      <c r="H439" s="2" t="n">
        <f aca="false">D439*F439</f>
        <v>0.640301007159952</v>
      </c>
      <c r="I439" s="2" t="n">
        <f aca="false">IF(G439="","",D439*1000000/Inputs!$B$4^2*Inputs!$B$5/G439)</f>
        <v>0.50801593896501</v>
      </c>
      <c r="J439" s="2" t="n">
        <f aca="false">IF(C439="A",Inputs!$B$7,IF(C439="B",Inputs!$B$8,IF(C439="C",Inputs!$B$9,0)))</f>
        <v>1</v>
      </c>
      <c r="K439" s="2" t="n">
        <f aca="false">IF(AND(E439&lt;&gt;"",G439&lt;&gt;"",J439&gt;0),IF(I439&gt;=Inputs!$B$6,1,0),0)</f>
        <v>0</v>
      </c>
      <c r="L439" s="5" t="n">
        <v>0</v>
      </c>
      <c r="M439" s="5" t="n">
        <v>126.091</v>
      </c>
      <c r="N439" s="5" t="n">
        <v>0.64</v>
      </c>
      <c r="O439" s="4" t="s">
        <v>64</v>
      </c>
      <c r="P439" s="2" t="n">
        <f aca="false">IF(K439=1,J439/G439^2,0)</f>
        <v>0</v>
      </c>
      <c r="Q439" s="2" t="n">
        <f aca="false">IF(K439=1,((E439-Result!$B$7*D439)/G439)^2,0)</f>
        <v>0</v>
      </c>
    </row>
    <row r="440" customFormat="false" ht="15" hidden="false" customHeight="false" outlineLevel="0" collapsed="false">
      <c r="A440" s="4" t="s">
        <v>37</v>
      </c>
      <c r="B440" s="4" t="s">
        <v>506</v>
      </c>
      <c r="C440" s="4" t="s">
        <v>63</v>
      </c>
      <c r="D440" s="5" t="n">
        <v>138.318</v>
      </c>
      <c r="E440" s="5" t="n">
        <v>-0.59</v>
      </c>
      <c r="F440" s="5" t="n">
        <v>0.00507801571444236</v>
      </c>
      <c r="G440" s="5" t="n">
        <v>1.2613</v>
      </c>
      <c r="H440" s="2" t="n">
        <f aca="false">D440*F440</f>
        <v>0.702380977590238</v>
      </c>
      <c r="I440" s="2" t="n">
        <f aca="false">IF(G440="","",D440*1000000/Inputs!$B$4^2*Inputs!$B$5/G440)</f>
        <v>0.557275856388117</v>
      </c>
      <c r="J440" s="2" t="n">
        <f aca="false">IF(C440="A",Inputs!$B$7,IF(C440="B",Inputs!$B$8,IF(C440="C",Inputs!$B$9,0)))</f>
        <v>1</v>
      </c>
      <c r="K440" s="2" t="n">
        <f aca="false">IF(AND(E440&lt;&gt;"",G440&lt;&gt;"",J440&gt;0),IF(I440&gt;=Inputs!$B$6,1,0),0)</f>
        <v>0</v>
      </c>
      <c r="L440" s="5" t="n">
        <v>1</v>
      </c>
      <c r="M440" s="5" t="n">
        <v>138.3176</v>
      </c>
      <c r="N440" s="5" t="n">
        <v>0.7</v>
      </c>
      <c r="O440" s="4" t="s">
        <v>64</v>
      </c>
      <c r="P440" s="2" t="n">
        <f aca="false">IF(K440=1,J440/G440^2,0)</f>
        <v>0</v>
      </c>
      <c r="Q440" s="2" t="n">
        <f aca="false">IF(K440=1,((E440-Result!$B$7*D440)/G440)^2,0)</f>
        <v>0</v>
      </c>
    </row>
    <row r="441" customFormat="false" ht="15" hidden="false" customHeight="false" outlineLevel="0" collapsed="false">
      <c r="A441" s="4" t="s">
        <v>37</v>
      </c>
      <c r="B441" s="4" t="s">
        <v>507</v>
      </c>
      <c r="C441" s="4" t="s">
        <v>63</v>
      </c>
      <c r="D441" s="5" t="n">
        <v>113.1162</v>
      </c>
      <c r="E441" s="5" t="n">
        <v>-0.35</v>
      </c>
      <c r="F441" s="5" t="n">
        <v>0.00507800678134525</v>
      </c>
      <c r="G441" s="5" t="n">
        <v>1.2613</v>
      </c>
      <c r="H441" s="2" t="n">
        <f aca="false">D441*F441</f>
        <v>0.574404830680005</v>
      </c>
      <c r="I441" s="2" t="n">
        <f aca="false">IF(G441="","",D441*1000000/Inputs!$B$4^2*Inputs!$B$5/G441)</f>
        <v>0.455739146216469</v>
      </c>
      <c r="J441" s="2" t="n">
        <f aca="false">IF(C441="A",Inputs!$B$7,IF(C441="B",Inputs!$B$8,IF(C441="C",Inputs!$B$9,0)))</f>
        <v>1</v>
      </c>
      <c r="K441" s="2" t="n">
        <f aca="false">IF(AND(E441&lt;&gt;"",G441&lt;&gt;"",J441&gt;0),IF(I441&gt;=Inputs!$B$6,1,0),0)</f>
        <v>0</v>
      </c>
      <c r="L441" s="5" t="n">
        <v>0</v>
      </c>
      <c r="M441" s="5" t="n">
        <v>113.1159</v>
      </c>
      <c r="N441" s="5" t="n">
        <v>0.57</v>
      </c>
      <c r="O441" s="4" t="s">
        <v>64</v>
      </c>
      <c r="P441" s="2" t="n">
        <f aca="false">IF(K441=1,J441/G441^2,0)</f>
        <v>0</v>
      </c>
      <c r="Q441" s="2" t="n">
        <f aca="false">IF(K441=1,((E441-Result!$B$7*D441)/G441)^2,0)</f>
        <v>0</v>
      </c>
    </row>
    <row r="442" customFormat="false" ht="15" hidden="false" customHeight="false" outlineLevel="0" collapsed="false">
      <c r="A442" s="4" t="s">
        <v>37</v>
      </c>
      <c r="B442" s="4" t="s">
        <v>508</v>
      </c>
      <c r="C442" s="4" t="s">
        <v>63</v>
      </c>
      <c r="D442" s="5" t="n">
        <v>100.8897</v>
      </c>
      <c r="E442" s="5" t="n">
        <v>-0.94</v>
      </c>
      <c r="F442" s="5" t="n">
        <v>0.00507806904286893</v>
      </c>
      <c r="G442" s="5" t="n">
        <v>1.2613</v>
      </c>
      <c r="H442" s="2" t="n">
        <f aca="false">D442*F442</f>
        <v>0.512324862314333</v>
      </c>
      <c r="I442" s="2" t="n">
        <f aca="false">IF(G442="","",D442*1000000/Inputs!$B$4^2*Inputs!$B$5/G442)</f>
        <v>0.406479228793362</v>
      </c>
      <c r="J442" s="2" t="n">
        <f aca="false">IF(C442="A",Inputs!$B$7,IF(C442="B",Inputs!$B$8,IF(C442="C",Inputs!$B$9,0)))</f>
        <v>1</v>
      </c>
      <c r="K442" s="2" t="n">
        <f aca="false">IF(AND(E442&lt;&gt;"",G442&lt;&gt;"",J442&gt;0),IF(I442&gt;=Inputs!$B$6,1,0),0)</f>
        <v>0</v>
      </c>
      <c r="L442" s="5" t="n">
        <v>1</v>
      </c>
      <c r="M442" s="5" t="n">
        <v>100.8893</v>
      </c>
      <c r="N442" s="5" t="n">
        <v>0.51</v>
      </c>
      <c r="O442" s="4" t="s">
        <v>64</v>
      </c>
      <c r="P442" s="2" t="n">
        <f aca="false">IF(K442=1,J442/G442^2,0)</f>
        <v>0</v>
      </c>
      <c r="Q442" s="2" t="n">
        <f aca="false">IF(K442=1,((E442-Result!$B$7*D442)/G442)^2,0)</f>
        <v>0</v>
      </c>
    </row>
    <row r="443" customFormat="false" ht="15" hidden="false" customHeight="false" outlineLevel="0" collapsed="false">
      <c r="A443" s="4" t="s">
        <v>37</v>
      </c>
      <c r="B443" s="4" t="s">
        <v>509</v>
      </c>
      <c r="C443" s="4" t="s">
        <v>63</v>
      </c>
      <c r="D443" s="5" t="n">
        <v>70.2892</v>
      </c>
      <c r="E443" s="5" t="n">
        <v>0.44</v>
      </c>
      <c r="F443" s="5" t="n">
        <v>0.00507800989956597</v>
      </c>
      <c r="G443" s="5" t="n">
        <v>1.2613</v>
      </c>
      <c r="H443" s="2" t="n">
        <f aca="false">D443*F443</f>
        <v>0.356929253432573</v>
      </c>
      <c r="I443" s="2" t="n">
        <f aca="false">IF(G443="","",D443*1000000/Inputs!$B$4^2*Inputs!$B$5/G443)</f>
        <v>0.283191443809451</v>
      </c>
      <c r="J443" s="2" t="n">
        <f aca="false">IF(C443="A",Inputs!$B$7,IF(C443="B",Inputs!$B$8,IF(C443="C",Inputs!$B$9,0)))</f>
        <v>1</v>
      </c>
      <c r="K443" s="2" t="n">
        <f aca="false">IF(AND(E443&lt;&gt;"",G443&lt;&gt;"",J443&gt;0),IF(I443&gt;=Inputs!$B$6,1,0),0)</f>
        <v>0</v>
      </c>
      <c r="L443" s="5" t="n">
        <v>1</v>
      </c>
      <c r="M443" s="5" t="n">
        <v>70.2888</v>
      </c>
      <c r="N443" s="5" t="n">
        <v>0.36</v>
      </c>
      <c r="O443" s="4" t="s">
        <v>64</v>
      </c>
      <c r="P443" s="2" t="n">
        <f aca="false">IF(K443=1,J443/G443^2,0)</f>
        <v>0</v>
      </c>
      <c r="Q443" s="2" t="n">
        <f aca="false">IF(K443=1,((E443-Result!$B$7*D443)/G443)^2,0)</f>
        <v>0</v>
      </c>
    </row>
    <row r="444" customFormat="false" ht="15" hidden="false" customHeight="false" outlineLevel="0" collapsed="false">
      <c r="A444" s="4" t="s">
        <v>37</v>
      </c>
      <c r="B444" s="4" t="s">
        <v>510</v>
      </c>
      <c r="C444" s="4" t="s">
        <v>63</v>
      </c>
      <c r="D444" s="5" t="n">
        <v>75.9507</v>
      </c>
      <c r="E444" s="5" t="n">
        <v>0.96</v>
      </c>
      <c r="F444" s="5" t="n">
        <v>0.00507801466022776</v>
      </c>
      <c r="G444" s="5" t="n">
        <v>1.2613</v>
      </c>
      <c r="H444" s="2" t="n">
        <f aca="false">D444*F444</f>
        <v>0.385678768054561</v>
      </c>
      <c r="I444" s="2" t="n">
        <f aca="false">IF(G444="","",D444*1000000/Inputs!$B$4^2*Inputs!$B$5/G444)</f>
        <v>0.306001325827275</v>
      </c>
      <c r="J444" s="2" t="n">
        <f aca="false">IF(C444="A",Inputs!$B$7,IF(C444="B",Inputs!$B$8,IF(C444="C",Inputs!$B$9,0)))</f>
        <v>1</v>
      </c>
      <c r="K444" s="2" t="n">
        <f aca="false">IF(AND(E444&lt;&gt;"",G444&lt;&gt;"",J444&gt;0),IF(I444&gt;=Inputs!$B$6,1,0),0)</f>
        <v>0</v>
      </c>
      <c r="L444" s="5" t="n">
        <v>0</v>
      </c>
      <c r="M444" s="5" t="n">
        <v>75.9503</v>
      </c>
      <c r="N444" s="5" t="n">
        <v>0.39</v>
      </c>
      <c r="O444" s="4" t="s">
        <v>64</v>
      </c>
      <c r="P444" s="2" t="n">
        <f aca="false">IF(K444=1,J444/G444^2,0)</f>
        <v>0</v>
      </c>
      <c r="Q444" s="2" t="n">
        <f aca="false">IF(K444=1,((E444-Result!$B$7*D444)/G444)^2,0)</f>
        <v>0</v>
      </c>
    </row>
    <row r="445" customFormat="false" ht="15" hidden="false" customHeight="false" outlineLevel="0" collapsed="false">
      <c r="A445" s="4" t="s">
        <v>37</v>
      </c>
      <c r="B445" s="4" t="s">
        <v>511</v>
      </c>
      <c r="C445" s="4" t="s">
        <v>63</v>
      </c>
      <c r="D445" s="5" t="n">
        <v>111.0346</v>
      </c>
      <c r="E445" s="5" t="n">
        <v>1.37</v>
      </c>
      <c r="F445" s="5" t="n">
        <v>0.00507806532778525</v>
      </c>
      <c r="G445" s="5" t="n">
        <v>1.2613</v>
      </c>
      <c r="H445" s="2" t="n">
        <f aca="false">D445*F445</f>
        <v>0.563840952444504</v>
      </c>
      <c r="I445" s="2" t="n">
        <f aca="false">IF(G445="","",D445*1000000/Inputs!$B$4^2*Inputs!$B$5/G445)</f>
        <v>0.447352490664353</v>
      </c>
      <c r="J445" s="2" t="n">
        <f aca="false">IF(C445="A",Inputs!$B$7,IF(C445="B",Inputs!$B$8,IF(C445="C",Inputs!$B$9,0)))</f>
        <v>1</v>
      </c>
      <c r="K445" s="2" t="n">
        <f aca="false">IF(AND(E445&lt;&gt;"",G445&lt;&gt;"",J445&gt;0),IF(I445&gt;=Inputs!$B$6,1,0),0)</f>
        <v>0</v>
      </c>
      <c r="L445" s="5" t="n">
        <v>1</v>
      </c>
      <c r="M445" s="5" t="n">
        <v>111.0342</v>
      </c>
      <c r="N445" s="5" t="n">
        <v>0.56</v>
      </c>
      <c r="O445" s="4" t="s">
        <v>64</v>
      </c>
      <c r="P445" s="2" t="n">
        <f aca="false">IF(K445=1,J445/G445^2,0)</f>
        <v>0</v>
      </c>
      <c r="Q445" s="2" t="n">
        <f aca="false">IF(K445=1,((E445-Result!$B$7*D445)/G445)^2,0)</f>
        <v>0</v>
      </c>
    </row>
    <row r="446" customFormat="false" ht="15" hidden="false" customHeight="false" outlineLevel="0" collapsed="false">
      <c r="A446" s="4" t="s">
        <v>37</v>
      </c>
      <c r="B446" s="4" t="s">
        <v>512</v>
      </c>
      <c r="C446" s="4" t="s">
        <v>63</v>
      </c>
      <c r="D446" s="5" t="n">
        <v>105.3731</v>
      </c>
      <c r="E446" s="5" t="n">
        <v>0.85</v>
      </c>
      <c r="F446" s="5" t="n">
        <v>0.00507806487205356</v>
      </c>
      <c r="G446" s="5" t="n">
        <v>1.2613</v>
      </c>
      <c r="H446" s="2" t="n">
        <f aca="false">D446*F446</f>
        <v>0.535091437569387</v>
      </c>
      <c r="I446" s="2" t="n">
        <f aca="false">IF(G446="","",D446*1000000/Inputs!$B$4^2*Inputs!$B$5/G446)</f>
        <v>0.42454260864653</v>
      </c>
      <c r="J446" s="2" t="n">
        <f aca="false">IF(C446="A",Inputs!$B$7,IF(C446="B",Inputs!$B$8,IF(C446="C",Inputs!$B$9,0)))</f>
        <v>1</v>
      </c>
      <c r="K446" s="2" t="n">
        <f aca="false">IF(AND(E446&lt;&gt;"",G446&lt;&gt;"",J446&gt;0),IF(I446&gt;=Inputs!$B$6,1,0),0)</f>
        <v>0</v>
      </c>
      <c r="L446" s="5" t="n">
        <v>0</v>
      </c>
      <c r="M446" s="5" t="n">
        <v>105.3727</v>
      </c>
      <c r="N446" s="5" t="n">
        <v>0.54</v>
      </c>
      <c r="O446" s="4" t="s">
        <v>64</v>
      </c>
      <c r="P446" s="2" t="n">
        <f aca="false">IF(K446=1,J446/G446^2,0)</f>
        <v>0</v>
      </c>
      <c r="Q446" s="2" t="n">
        <f aca="false">IF(K446=1,((E446-Result!$B$7*D446)/G446)^2,0)</f>
        <v>0</v>
      </c>
    </row>
    <row r="447" customFormat="false" ht="15" hidden="false" customHeight="false" outlineLevel="0" collapsed="false">
      <c r="A447" s="4" t="s">
        <v>37</v>
      </c>
      <c r="B447" s="4" t="s">
        <v>513</v>
      </c>
      <c r="C447" s="4" t="s">
        <v>63</v>
      </c>
      <c r="D447" s="5" t="n">
        <v>12.3611</v>
      </c>
      <c r="E447" s="5" t="n">
        <v>0.15</v>
      </c>
      <c r="F447" s="5" t="n">
        <v>0.00507796953549269</v>
      </c>
      <c r="G447" s="5" t="n">
        <v>1.2613</v>
      </c>
      <c r="H447" s="2" t="n">
        <f aca="false">D447*F447</f>
        <v>0.0627692892251787</v>
      </c>
      <c r="I447" s="2" t="n">
        <f aca="false">IF(G447="","",D447*1000000/Inputs!$B$4^2*Inputs!$B$5/G447)</f>
        <v>0.0498022136554834</v>
      </c>
      <c r="J447" s="2" t="n">
        <f aca="false">IF(C447="A",Inputs!$B$7,IF(C447="B",Inputs!$B$8,IF(C447="C",Inputs!$B$9,0)))</f>
        <v>1</v>
      </c>
      <c r="K447" s="2" t="n">
        <f aca="false">IF(AND(E447&lt;&gt;"",G447&lt;&gt;"",J447&gt;0),IF(I447&gt;=Inputs!$B$6,1,0),0)</f>
        <v>0</v>
      </c>
      <c r="L447" s="5" t="n">
        <v>0</v>
      </c>
      <c r="M447" s="5" t="n">
        <v>12.3619</v>
      </c>
      <c r="N447" s="5" t="n">
        <v>0.063</v>
      </c>
      <c r="O447" s="4" t="s">
        <v>64</v>
      </c>
      <c r="P447" s="2" t="n">
        <f aca="false">IF(K447=1,J447/G447^2,0)</f>
        <v>0</v>
      </c>
      <c r="Q447" s="2" t="n">
        <f aca="false">IF(K447=1,((E447-Result!$B$7*D447)/G447)^2,0)</f>
        <v>0</v>
      </c>
    </row>
    <row r="448" customFormat="false" ht="15" hidden="false" customHeight="false" outlineLevel="0" collapsed="false">
      <c r="A448" s="4" t="s">
        <v>37</v>
      </c>
      <c r="B448" s="4" t="s">
        <v>514</v>
      </c>
      <c r="C448" s="4" t="s">
        <v>63</v>
      </c>
      <c r="D448" s="5" t="n">
        <v>143.3283</v>
      </c>
      <c r="E448" s="5" t="n">
        <v>0.96</v>
      </c>
      <c r="F448" s="5" t="n">
        <v>0.00507802021860917</v>
      </c>
      <c r="G448" s="5" t="n">
        <v>1.2613</v>
      </c>
      <c r="H448" s="2" t="n">
        <f aca="false">D448*F448</f>
        <v>0.72782400529888</v>
      </c>
      <c r="I448" s="2" t="n">
        <f aca="false">IF(G448="","",D448*1000000/Inputs!$B$4^2*Inputs!$B$5/G448)</f>
        <v>0.577462088283181</v>
      </c>
      <c r="J448" s="2" t="n">
        <f aca="false">IF(C448="A",Inputs!$B$7,IF(C448="B",Inputs!$B$8,IF(C448="C",Inputs!$B$9,0)))</f>
        <v>1</v>
      </c>
      <c r="K448" s="2" t="n">
        <f aca="false">IF(AND(E448&lt;&gt;"",G448&lt;&gt;"",J448&gt;0),IF(I448&gt;=Inputs!$B$6,1,0),0)</f>
        <v>0</v>
      </c>
      <c r="L448" s="5" t="n">
        <v>0</v>
      </c>
      <c r="M448" s="5" t="n">
        <v>143.328</v>
      </c>
      <c r="N448" s="5" t="n">
        <v>0.73</v>
      </c>
      <c r="O448" s="4" t="s">
        <v>64</v>
      </c>
      <c r="P448" s="2" t="n">
        <f aca="false">IF(K448=1,J448/G448^2,0)</f>
        <v>0</v>
      </c>
      <c r="Q448" s="2" t="n">
        <f aca="false">IF(K448=1,((E448-Result!$B$7*D448)/G448)^2,0)</f>
        <v>0</v>
      </c>
    </row>
    <row r="449" customFormat="false" ht="15" hidden="false" customHeight="false" outlineLevel="0" collapsed="false">
      <c r="A449" s="4" t="s">
        <v>37</v>
      </c>
      <c r="B449" s="4" t="s">
        <v>515</v>
      </c>
      <c r="C449" s="4" t="s">
        <v>63</v>
      </c>
      <c r="D449" s="5" t="n">
        <v>135.3446</v>
      </c>
      <c r="E449" s="5" t="n">
        <v>1.02</v>
      </c>
      <c r="F449" s="5" t="n">
        <v>0.00507802497893666</v>
      </c>
      <c r="G449" s="5" t="n">
        <v>1.2613</v>
      </c>
      <c r="H449" s="2" t="n">
        <f aca="false">D449*F449</f>
        <v>0.687283259564191</v>
      </c>
      <c r="I449" s="2" t="n">
        <f aca="false">IF(G449="","",D449*1000000/Inputs!$B$4^2*Inputs!$B$5/G449)</f>
        <v>0.545296186125502</v>
      </c>
      <c r="J449" s="2" t="n">
        <f aca="false">IF(C449="A",Inputs!$B$7,IF(C449="B",Inputs!$B$8,IF(C449="C",Inputs!$B$9,0)))</f>
        <v>1</v>
      </c>
      <c r="K449" s="2" t="n">
        <f aca="false">IF(AND(E449&lt;&gt;"",G449&lt;&gt;"",J449&gt;0),IF(I449&gt;=Inputs!$B$6,1,0),0)</f>
        <v>0</v>
      </c>
      <c r="L449" s="5" t="n">
        <v>0</v>
      </c>
      <c r="M449" s="5" t="n">
        <v>135.3442</v>
      </c>
      <c r="N449" s="5" t="n">
        <v>0.69</v>
      </c>
      <c r="O449" s="4" t="s">
        <v>64</v>
      </c>
      <c r="P449" s="2" t="n">
        <f aca="false">IF(K449=1,J449/G449^2,0)</f>
        <v>0</v>
      </c>
      <c r="Q449" s="2" t="n">
        <f aca="false">IF(K449=1,((E449-Result!$B$7*D449)/G449)^2,0)</f>
        <v>0</v>
      </c>
    </row>
    <row r="450" customFormat="false" ht="15" hidden="false" customHeight="false" outlineLevel="0" collapsed="false">
      <c r="A450" s="4" t="s">
        <v>37</v>
      </c>
      <c r="B450" s="4" t="s">
        <v>516</v>
      </c>
      <c r="C450" s="4" t="s">
        <v>63</v>
      </c>
      <c r="D450" s="5" t="n">
        <v>201.2554</v>
      </c>
      <c r="E450" s="5" t="n">
        <v>1.25</v>
      </c>
      <c r="F450" s="5" t="n">
        <v>0.00507801976273704</v>
      </c>
      <c r="G450" s="5" t="n">
        <v>1.2613</v>
      </c>
      <c r="H450" s="2" t="n">
        <f aca="false">D450*F450</f>
        <v>1.02197889855755</v>
      </c>
      <c r="I450" s="2" t="n">
        <f aca="false">IF(G450="","",D450*1000000/Inputs!$B$4^2*Inputs!$B$5/G450)</f>
        <v>0.8108472894904</v>
      </c>
      <c r="J450" s="2" t="n">
        <f aca="false">IF(C450="A",Inputs!$B$7,IF(C450="B",Inputs!$B$8,IF(C450="C",Inputs!$B$9,0)))</f>
        <v>1</v>
      </c>
      <c r="K450" s="2" t="n">
        <f aca="false">IF(AND(E450&lt;&gt;"",G450&lt;&gt;"",J450&gt;0),IF(I450&gt;=Inputs!$B$6,1,0),0)</f>
        <v>0</v>
      </c>
      <c r="L450" s="5" t="n">
        <v>0</v>
      </c>
      <c r="M450" s="5" t="n">
        <v>201.2549</v>
      </c>
      <c r="N450" s="5" t="n">
        <v>1.02</v>
      </c>
      <c r="O450" s="4" t="s">
        <v>64</v>
      </c>
      <c r="P450" s="2" t="n">
        <f aca="false">IF(K450=1,J450/G450^2,0)</f>
        <v>0</v>
      </c>
      <c r="Q450" s="2" t="n">
        <f aca="false">IF(K450=1,((E450-Result!$B$7*D450)/G450)^2,0)</f>
        <v>0</v>
      </c>
    </row>
    <row r="451" customFormat="false" ht="15" hidden="false" customHeight="false" outlineLevel="0" collapsed="false">
      <c r="A451" s="4" t="s">
        <v>37</v>
      </c>
      <c r="B451" s="4" t="s">
        <v>517</v>
      </c>
      <c r="C451" s="4" t="s">
        <v>63</v>
      </c>
      <c r="D451" s="5" t="n">
        <v>198.9333</v>
      </c>
      <c r="E451" s="5" t="n">
        <v>1.83</v>
      </c>
      <c r="F451" s="5" t="n">
        <v>0.00507802452307931</v>
      </c>
      <c r="G451" s="5" t="n">
        <v>1.2613</v>
      </c>
      <c r="H451" s="2" t="n">
        <f aca="false">D451*F451</f>
        <v>1.01018817585709</v>
      </c>
      <c r="I451" s="2" t="n">
        <f aca="false">IF(G451="","",D451*1000000/Inputs!$B$4^2*Inputs!$B$5/G451)</f>
        <v>0.801491672245219</v>
      </c>
      <c r="J451" s="2" t="n">
        <f aca="false">IF(C451="A",Inputs!$B$7,IF(C451="B",Inputs!$B$8,IF(C451="C",Inputs!$B$9,0)))</f>
        <v>1</v>
      </c>
      <c r="K451" s="2" t="n">
        <f aca="false">IF(AND(E451&lt;&gt;"",G451&lt;&gt;"",J451&gt;0),IF(I451&gt;=Inputs!$B$6,1,0),0)</f>
        <v>0</v>
      </c>
      <c r="L451" s="5" t="n">
        <v>0</v>
      </c>
      <c r="M451" s="5" t="n">
        <v>198.9325</v>
      </c>
      <c r="N451" s="5" t="n">
        <v>1.01</v>
      </c>
      <c r="O451" s="4" t="s">
        <v>64</v>
      </c>
      <c r="P451" s="2" t="n">
        <f aca="false">IF(K451=1,J451/G451^2,0)</f>
        <v>0</v>
      </c>
      <c r="Q451" s="2" t="n">
        <f aca="false">IF(K451=1,((E451-Result!$B$7*D451)/G451)^2,0)</f>
        <v>0</v>
      </c>
    </row>
    <row r="452" customFormat="false" ht="15" hidden="false" customHeight="false" outlineLevel="0" collapsed="false">
      <c r="A452" s="4" t="s">
        <v>37</v>
      </c>
      <c r="B452" s="4" t="s">
        <v>518</v>
      </c>
      <c r="C452" s="4" t="s">
        <v>63</v>
      </c>
      <c r="D452" s="5" t="n">
        <v>103.0507</v>
      </c>
      <c r="E452" s="5" t="n">
        <v>1.43</v>
      </c>
      <c r="F452" s="5" t="n">
        <v>0.00507807518722298</v>
      </c>
      <c r="G452" s="5" t="n">
        <v>1.2613</v>
      </c>
      <c r="H452" s="2" t="n">
        <f aca="false">D452*F452</f>
        <v>0.523299202695959</v>
      </c>
      <c r="I452" s="2" t="n">
        <f aca="false">IF(G452="","",D452*1000000/Inputs!$B$4^2*Inputs!$B$5/G452)</f>
        <v>0.415185782717325</v>
      </c>
      <c r="J452" s="2" t="n">
        <f aca="false">IF(C452="A",Inputs!$B$7,IF(C452="B",Inputs!$B$8,IF(C452="C",Inputs!$B$9,0)))</f>
        <v>1</v>
      </c>
      <c r="K452" s="2" t="n">
        <f aca="false">IF(AND(E452&lt;&gt;"",G452&lt;&gt;"",J452&gt;0),IF(I452&gt;=Inputs!$B$6,1,0),0)</f>
        <v>0</v>
      </c>
      <c r="L452" s="5" t="n">
        <v>0</v>
      </c>
      <c r="M452" s="5" t="n">
        <v>103.0503</v>
      </c>
      <c r="N452" s="5" t="n">
        <v>0.52</v>
      </c>
      <c r="O452" s="4" t="s">
        <v>64</v>
      </c>
      <c r="P452" s="2" t="n">
        <f aca="false">IF(K452=1,J452/G452^2,0)</f>
        <v>0</v>
      </c>
      <c r="Q452" s="2" t="n">
        <f aca="false">IF(K452=1,((E452-Result!$B$7*D452)/G452)^2,0)</f>
        <v>0</v>
      </c>
    </row>
    <row r="453" customFormat="false" ht="15" hidden="false" customHeight="false" outlineLevel="0" collapsed="false">
      <c r="A453" s="4" t="s">
        <v>37</v>
      </c>
      <c r="B453" s="4" t="s">
        <v>519</v>
      </c>
      <c r="C453" s="4" t="s">
        <v>63</v>
      </c>
      <c r="D453" s="5" t="n">
        <v>219.3729</v>
      </c>
      <c r="E453" s="5" t="n">
        <v>1.46</v>
      </c>
      <c r="F453" s="5" t="n">
        <v>0.00507806853892605</v>
      </c>
      <c r="G453" s="5" t="n">
        <v>1.2613</v>
      </c>
      <c r="H453" s="2" t="n">
        <f aca="false">D453*F453</f>
        <v>1.11399062178297</v>
      </c>
      <c r="I453" s="2" t="n">
        <f aca="false">IF(G453="","",D453*1000000/Inputs!$B$4^2*Inputs!$B$5/G453)</f>
        <v>0.883841732210159</v>
      </c>
      <c r="J453" s="2" t="n">
        <f aca="false">IF(C453="A",Inputs!$B$7,IF(C453="B",Inputs!$B$8,IF(C453="C",Inputs!$B$9,0)))</f>
        <v>1</v>
      </c>
      <c r="K453" s="2" t="n">
        <f aca="false">IF(AND(E453&lt;&gt;"",G453&lt;&gt;"",J453&gt;0),IF(I453&gt;=Inputs!$B$6,1,0),0)</f>
        <v>0</v>
      </c>
      <c r="L453" s="5" t="n">
        <v>1</v>
      </c>
      <c r="M453" s="5" t="n">
        <v>219.3727</v>
      </c>
      <c r="N453" s="5" t="n">
        <v>1.11</v>
      </c>
      <c r="O453" s="4" t="s">
        <v>64</v>
      </c>
      <c r="P453" s="2" t="n">
        <f aca="false">IF(K453=1,J453/G453^2,0)</f>
        <v>0</v>
      </c>
      <c r="Q453" s="2" t="n">
        <f aca="false">IF(K453=1,((E453-Result!$B$7*D453)/G453)^2,0)</f>
        <v>0</v>
      </c>
    </row>
    <row r="454" customFormat="false" ht="15" hidden="false" customHeight="false" outlineLevel="0" collapsed="false">
      <c r="A454" s="4" t="s">
        <v>37</v>
      </c>
      <c r="B454" s="4" t="s">
        <v>520</v>
      </c>
      <c r="C454" s="4" t="s">
        <v>63</v>
      </c>
      <c r="D454" s="5" t="n">
        <v>213.252</v>
      </c>
      <c r="E454" s="5" t="n">
        <v>0.38</v>
      </c>
      <c r="F454" s="5" t="n">
        <v>0.00507812348932601</v>
      </c>
      <c r="G454" s="5" t="n">
        <v>1.2613</v>
      </c>
      <c r="H454" s="2" t="n">
        <f aca="false">D454*F454</f>
        <v>1.08291999034575</v>
      </c>
      <c r="I454" s="2" t="n">
        <f aca="false">IF(G454="","",D454*1000000/Inputs!$B$4^2*Inputs!$B$5/G454)</f>
        <v>0.859180952055978</v>
      </c>
      <c r="J454" s="2" t="n">
        <f aca="false">IF(C454="A",Inputs!$B$7,IF(C454="B",Inputs!$B$8,IF(C454="C",Inputs!$B$9,0)))</f>
        <v>1</v>
      </c>
      <c r="K454" s="2" t="n">
        <f aca="false">IF(AND(E454&lt;&gt;"",G454&lt;&gt;"",J454&gt;0),IF(I454&gt;=Inputs!$B$6,1,0),0)</f>
        <v>0</v>
      </c>
      <c r="L454" s="5" t="n">
        <v>0</v>
      </c>
      <c r="M454" s="5" t="n">
        <v>213.2516</v>
      </c>
      <c r="N454" s="5" t="n">
        <v>1.08</v>
      </c>
      <c r="O454" s="4" t="s">
        <v>64</v>
      </c>
      <c r="P454" s="2" t="n">
        <f aca="false">IF(K454=1,J454/G454^2,0)</f>
        <v>0</v>
      </c>
      <c r="Q454" s="2" t="n">
        <f aca="false">IF(K454=1,((E454-Result!$B$7*D454)/G454)^2,0)</f>
        <v>0</v>
      </c>
    </row>
    <row r="455" customFormat="false" ht="15" hidden="false" customHeight="false" outlineLevel="0" collapsed="false">
      <c r="A455" s="4" t="s">
        <v>37</v>
      </c>
      <c r="B455" s="4" t="s">
        <v>521</v>
      </c>
      <c r="C455" s="4" t="s">
        <v>63</v>
      </c>
      <c r="D455" s="5" t="n">
        <v>129.2235</v>
      </c>
      <c r="E455" s="5" t="n">
        <v>-0.06</v>
      </c>
      <c r="F455" s="5" t="n">
        <v>0.00507811363316547</v>
      </c>
      <c r="G455" s="5" t="n">
        <v>1.2613</v>
      </c>
      <c r="H455" s="2" t="n">
        <f aca="false">D455*F455</f>
        <v>0.656211617075358</v>
      </c>
      <c r="I455" s="2" t="n">
        <f aca="false">IF(G455="","",D455*1000000/Inputs!$B$4^2*Inputs!$B$5/G455)</f>
        <v>0.520634600181971</v>
      </c>
      <c r="J455" s="2" t="n">
        <f aca="false">IF(C455="A",Inputs!$B$7,IF(C455="B",Inputs!$B$8,IF(C455="C",Inputs!$B$9,0)))</f>
        <v>1</v>
      </c>
      <c r="K455" s="2" t="n">
        <f aca="false">IF(AND(E455&lt;&gt;"",G455&lt;&gt;"",J455&gt;0),IF(I455&gt;=Inputs!$B$6,1,0),0)</f>
        <v>0</v>
      </c>
      <c r="L455" s="5" t="n">
        <v>1</v>
      </c>
      <c r="M455" s="5" t="n">
        <v>129.2231</v>
      </c>
      <c r="N455" s="5" t="n">
        <v>0.66</v>
      </c>
      <c r="O455" s="4" t="s">
        <v>64</v>
      </c>
      <c r="P455" s="2" t="n">
        <f aca="false">IF(K455=1,J455/G455^2,0)</f>
        <v>0</v>
      </c>
      <c r="Q455" s="2" t="n">
        <f aca="false">IF(K455=1,((E455-Result!$B$7*D455)/G455)^2,0)</f>
        <v>0</v>
      </c>
    </row>
    <row r="456" customFormat="false" ht="15" hidden="false" customHeight="false" outlineLevel="0" collapsed="false">
      <c r="A456" s="4" t="s">
        <v>37</v>
      </c>
      <c r="B456" s="4" t="s">
        <v>522</v>
      </c>
      <c r="C456" s="4" t="s">
        <v>63</v>
      </c>
      <c r="D456" s="5" t="n">
        <v>110.9881</v>
      </c>
      <c r="E456" s="5" t="n">
        <v>2.18</v>
      </c>
      <c r="F456" s="5" t="n">
        <v>0.00507811934124058</v>
      </c>
      <c r="G456" s="5" t="n">
        <v>1.2613</v>
      </c>
      <c r="H456" s="2" t="n">
        <f aca="false">D456*F456</f>
        <v>0.563610817257544</v>
      </c>
      <c r="I456" s="2" t="n">
        <f aca="false">IF(G456="","",D456*1000000/Inputs!$B$4^2*Inputs!$B$5/G456)</f>
        <v>0.447165144640538</v>
      </c>
      <c r="J456" s="2" t="n">
        <f aca="false">IF(C456="A",Inputs!$B$7,IF(C456="B",Inputs!$B$8,IF(C456="C",Inputs!$B$9,0)))</f>
        <v>1</v>
      </c>
      <c r="K456" s="2" t="n">
        <f aca="false">IF(AND(E456&lt;&gt;"",G456&lt;&gt;"",J456&gt;0),IF(I456&gt;=Inputs!$B$6,1,0),0)</f>
        <v>0</v>
      </c>
      <c r="L456" s="5" t="n">
        <v>1</v>
      </c>
      <c r="M456" s="5" t="n">
        <v>110.988</v>
      </c>
      <c r="N456" s="5" t="n">
        <v>0.56</v>
      </c>
      <c r="O456" s="4" t="s">
        <v>64</v>
      </c>
      <c r="P456" s="2" t="n">
        <f aca="false">IF(K456=1,J456/G456^2,0)</f>
        <v>0</v>
      </c>
      <c r="Q456" s="2" t="n">
        <f aca="false">IF(K456=1,((E456-Result!$B$7*D456)/G456)^2,0)</f>
        <v>0</v>
      </c>
    </row>
    <row r="457" customFormat="false" ht="15" hidden="false" customHeight="false" outlineLevel="0" collapsed="false">
      <c r="A457" s="4" t="s">
        <v>37</v>
      </c>
      <c r="B457" s="4" t="s">
        <v>523</v>
      </c>
      <c r="C457" s="4" t="s">
        <v>63</v>
      </c>
      <c r="D457" s="5" t="n">
        <v>171.9107</v>
      </c>
      <c r="E457" s="5" t="n">
        <v>-0.3</v>
      </c>
      <c r="F457" s="5" t="n">
        <v>0.00507820275897262</v>
      </c>
      <c r="G457" s="5" t="n">
        <v>1.2613</v>
      </c>
      <c r="H457" s="2" t="n">
        <f aca="false">D457*F457</f>
        <v>0.872997391036915</v>
      </c>
      <c r="I457" s="2" t="n">
        <f aca="false">IF(G457="","",D457*1000000/Inputs!$B$4^2*Inputs!$B$5/G457)</f>
        <v>0.692619055833519</v>
      </c>
      <c r="J457" s="2" t="n">
        <f aca="false">IF(C457="A",Inputs!$B$7,IF(C457="B",Inputs!$B$8,IF(C457="C",Inputs!$B$9,0)))</f>
        <v>1</v>
      </c>
      <c r="K457" s="2" t="n">
        <f aca="false">IF(AND(E457&lt;&gt;"",G457&lt;&gt;"",J457&gt;0),IF(I457&gt;=Inputs!$B$6,1,0),0)</f>
        <v>0</v>
      </c>
      <c r="L457" s="5" t="n">
        <v>1</v>
      </c>
      <c r="M457" s="5" t="n">
        <v>171.9105</v>
      </c>
      <c r="N457" s="5" t="n">
        <v>0.87</v>
      </c>
      <c r="O457" s="4" t="s">
        <v>64</v>
      </c>
      <c r="P457" s="2" t="n">
        <f aca="false">IF(K457=1,J457/G457^2,0)</f>
        <v>0</v>
      </c>
      <c r="Q457" s="2" t="n">
        <f aca="false">IF(K457=1,((E457-Result!$B$7*D457)/G457)^2,0)</f>
        <v>0</v>
      </c>
    </row>
    <row r="458" customFormat="false" ht="15" hidden="false" customHeight="false" outlineLevel="0" collapsed="false">
      <c r="A458" s="4" t="s">
        <v>37</v>
      </c>
      <c r="B458" s="4" t="s">
        <v>524</v>
      </c>
      <c r="C458" s="4" t="s">
        <v>63</v>
      </c>
      <c r="D458" s="5" t="n">
        <v>206.3717</v>
      </c>
      <c r="E458" s="5" t="n">
        <v>1.87</v>
      </c>
      <c r="F458" s="5" t="n">
        <v>0.00507801708773562</v>
      </c>
      <c r="G458" s="5" t="n">
        <v>1.2613</v>
      </c>
      <c r="H458" s="2" t="n">
        <f aca="false">D458*F458</f>
        <v>1.04795901902505</v>
      </c>
      <c r="I458" s="2" t="n">
        <f aca="false">IF(G458="","",D458*1000000/Inputs!$B$4^2*Inputs!$B$5/G458)</f>
        <v>0.831460589740826</v>
      </c>
      <c r="J458" s="2" t="n">
        <f aca="false">IF(C458="A",Inputs!$B$7,IF(C458="B",Inputs!$B$8,IF(C458="C",Inputs!$B$9,0)))</f>
        <v>1</v>
      </c>
      <c r="K458" s="2" t="n">
        <f aca="false">IF(AND(E458&lt;&gt;"",G458&lt;&gt;"",J458&gt;0),IF(I458&gt;=Inputs!$B$6,1,0),0)</f>
        <v>0</v>
      </c>
      <c r="L458" s="5" t="n">
        <v>1</v>
      </c>
      <c r="M458" s="5" t="n">
        <v>206.371</v>
      </c>
      <c r="N458" s="5" t="n">
        <v>1.05</v>
      </c>
      <c r="O458" s="4" t="s">
        <v>64</v>
      </c>
      <c r="P458" s="2" t="n">
        <f aca="false">IF(K458=1,J458/G458^2,0)</f>
        <v>0</v>
      </c>
      <c r="Q458" s="2" t="n">
        <f aca="false">IF(K458=1,((E458-Result!$B$7*D458)/G458)^2,0)</f>
        <v>0</v>
      </c>
    </row>
    <row r="459" customFormat="false" ht="15" hidden="false" customHeight="false" outlineLevel="0" collapsed="false">
      <c r="A459" s="4" t="s">
        <v>37</v>
      </c>
      <c r="B459" s="4" t="s">
        <v>525</v>
      </c>
      <c r="C459" s="4" t="s">
        <v>63</v>
      </c>
      <c r="D459" s="5" t="n">
        <v>279.0499</v>
      </c>
      <c r="E459" s="5" t="n">
        <v>1.06</v>
      </c>
      <c r="F459" s="5" t="n">
        <v>0.00507810056431002</v>
      </c>
      <c r="G459" s="5" t="n">
        <v>1.2613</v>
      </c>
      <c r="H459" s="2" t="n">
        <f aca="false">D459*F459</f>
        <v>1.41704345466066</v>
      </c>
      <c r="I459" s="2" t="n">
        <f aca="false">IF(G459="","",D459*1000000/Inputs!$B$4^2*Inputs!$B$5/G459)</f>
        <v>1.12427718733295</v>
      </c>
      <c r="J459" s="2" t="n">
        <f aca="false">IF(C459="A",Inputs!$B$7,IF(C459="B",Inputs!$B$8,IF(C459="C",Inputs!$B$9,0)))</f>
        <v>1</v>
      </c>
      <c r="K459" s="2" t="n">
        <f aca="false">IF(AND(E459&lt;&gt;"",G459&lt;&gt;"",J459&gt;0),IF(I459&gt;=Inputs!$B$6,1,0),0)</f>
        <v>0</v>
      </c>
      <c r="L459" s="5" t="n">
        <v>1</v>
      </c>
      <c r="M459" s="5" t="n">
        <v>279.049</v>
      </c>
      <c r="N459" s="5" t="n">
        <v>1.42</v>
      </c>
      <c r="O459" s="4" t="s">
        <v>64</v>
      </c>
      <c r="P459" s="2" t="n">
        <f aca="false">IF(K459=1,J459/G459^2,0)</f>
        <v>0</v>
      </c>
      <c r="Q459" s="2" t="n">
        <f aca="false">IF(K459=1,((E459-Result!$B$7*D459)/G459)^2,0)</f>
        <v>0</v>
      </c>
    </row>
    <row r="460" customFormat="false" ht="15" hidden="false" customHeight="false" outlineLevel="0" collapsed="false">
      <c r="A460" s="4" t="s">
        <v>37</v>
      </c>
      <c r="B460" s="4" t="s">
        <v>526</v>
      </c>
      <c r="C460" s="4" t="s">
        <v>63</v>
      </c>
      <c r="D460" s="5" t="n">
        <v>371.0345</v>
      </c>
      <c r="E460" s="5" t="n">
        <v>2.22</v>
      </c>
      <c r="F460" s="5" t="n">
        <v>0.00507813332187322</v>
      </c>
      <c r="G460" s="5" t="n">
        <v>1.2613</v>
      </c>
      <c r="H460" s="2" t="n">
        <f aca="false">D460*F460</f>
        <v>1.88416265801457</v>
      </c>
      <c r="I460" s="2" t="n">
        <f aca="false">IF(G460="","",D460*1000000/Inputs!$B$4^2*Inputs!$B$5/G460)</f>
        <v>1.49487824243437</v>
      </c>
      <c r="J460" s="2" t="n">
        <f aca="false">IF(C460="A",Inputs!$B$7,IF(C460="B",Inputs!$B$8,IF(C460="C",Inputs!$B$9,0)))</f>
        <v>1</v>
      </c>
      <c r="K460" s="2" t="n">
        <f aca="false">IF(AND(E460&lt;&gt;"",G460&lt;&gt;"",J460&gt;0),IF(I460&gt;=Inputs!$B$6,1,0),0)</f>
        <v>0</v>
      </c>
      <c r="L460" s="5" t="n">
        <v>1</v>
      </c>
      <c r="M460" s="5" t="n">
        <v>371.0332</v>
      </c>
      <c r="N460" s="5" t="n">
        <v>1.89</v>
      </c>
      <c r="O460" s="4" t="s">
        <v>64</v>
      </c>
      <c r="P460" s="2" t="n">
        <f aca="false">IF(K460=1,J460/G460^2,0)</f>
        <v>0</v>
      </c>
      <c r="Q460" s="2" t="n">
        <f aca="false">IF(K460=1,((E460-Result!$B$7*D460)/G460)^2,0)</f>
        <v>0</v>
      </c>
    </row>
    <row r="461" customFormat="false" ht="15" hidden="false" customHeight="false" outlineLevel="0" collapsed="false">
      <c r="A461" s="4" t="s">
        <v>37</v>
      </c>
      <c r="B461" s="4" t="s">
        <v>527</v>
      </c>
      <c r="C461" s="4" t="s">
        <v>63</v>
      </c>
      <c r="D461" s="5" t="n">
        <v>357.7926</v>
      </c>
      <c r="E461" s="5" t="n">
        <v>2.82</v>
      </c>
      <c r="F461" s="5" t="n">
        <v>0.00507807467402812</v>
      </c>
      <c r="G461" s="5" t="n">
        <v>1.2613</v>
      </c>
      <c r="H461" s="2" t="n">
        <f aca="false">D461*F461</f>
        <v>1.81689754061467</v>
      </c>
      <c r="I461" s="2" t="n">
        <f aca="false">IF(G461="","",D461*1000000/Inputs!$B$4^2*Inputs!$B$5/G461)</f>
        <v>1.44152733248262</v>
      </c>
      <c r="J461" s="2" t="n">
        <f aca="false">IF(C461="A",Inputs!$B$7,IF(C461="B",Inputs!$B$8,IF(C461="C",Inputs!$B$9,0)))</f>
        <v>1</v>
      </c>
      <c r="K461" s="2" t="n">
        <f aca="false">IF(AND(E461&lt;&gt;"",G461&lt;&gt;"",J461&gt;0),IF(I461&gt;=Inputs!$B$6,1,0),0)</f>
        <v>0</v>
      </c>
      <c r="L461" s="5" t="n">
        <v>0</v>
      </c>
      <c r="M461" s="5" t="n">
        <v>357.7912</v>
      </c>
      <c r="N461" s="5" t="n">
        <v>1.82</v>
      </c>
      <c r="O461" s="4" t="s">
        <v>64</v>
      </c>
      <c r="P461" s="2" t="n">
        <f aca="false">IF(K461=1,J461/G461^2,0)</f>
        <v>0</v>
      </c>
      <c r="Q461" s="2" t="n">
        <f aca="false">IF(K461=1,((E461-Result!$B$7*D461)/G461)^2,0)</f>
        <v>0</v>
      </c>
    </row>
    <row r="462" customFormat="false" ht="15" hidden="false" customHeight="false" outlineLevel="0" collapsed="false">
      <c r="A462" s="4" t="s">
        <v>37</v>
      </c>
      <c r="B462" s="4" t="s">
        <v>528</v>
      </c>
      <c r="C462" s="4" t="s">
        <v>63</v>
      </c>
      <c r="D462" s="5" t="n">
        <v>212.4033</v>
      </c>
      <c r="E462" s="5" t="n">
        <v>0.58</v>
      </c>
      <c r="F462" s="5" t="n">
        <v>0.00507806492317564</v>
      </c>
      <c r="G462" s="5" t="n">
        <v>1.2613</v>
      </c>
      <c r="H462" s="2" t="n">
        <f aca="false">D462*F462</f>
        <v>1.07859774729675</v>
      </c>
      <c r="I462" s="2" t="n">
        <f aca="false">IF(G462="","",D462*1000000/Inputs!$B$4^2*Inputs!$B$5/G462)</f>
        <v>0.855761584950348</v>
      </c>
      <c r="J462" s="2" t="n">
        <f aca="false">IF(C462="A",Inputs!$B$7,IF(C462="B",Inputs!$B$8,IF(C462="C",Inputs!$B$9,0)))</f>
        <v>1</v>
      </c>
      <c r="K462" s="2" t="n">
        <f aca="false">IF(AND(E462&lt;&gt;"",G462&lt;&gt;"",J462&gt;0),IF(I462&gt;=Inputs!$B$6,1,0),0)</f>
        <v>0</v>
      </c>
      <c r="L462" s="5" t="n">
        <v>0</v>
      </c>
      <c r="M462" s="5" t="n">
        <v>212.4021</v>
      </c>
      <c r="N462" s="5" t="n">
        <v>1.08</v>
      </c>
      <c r="O462" s="4" t="s">
        <v>64</v>
      </c>
      <c r="P462" s="2" t="n">
        <f aca="false">IF(K462=1,J462/G462^2,0)</f>
        <v>0</v>
      </c>
      <c r="Q462" s="2" t="n">
        <f aca="false">IF(K462=1,((E462-Result!$B$7*D462)/G462)^2,0)</f>
        <v>0</v>
      </c>
    </row>
    <row r="463" customFormat="false" ht="15" hidden="false" customHeight="false" outlineLevel="0" collapsed="false">
      <c r="A463" s="4" t="s">
        <v>37</v>
      </c>
      <c r="B463" s="4" t="s">
        <v>529</v>
      </c>
      <c r="C463" s="4" t="s">
        <v>63</v>
      </c>
      <c r="D463" s="5" t="n">
        <v>225.6452</v>
      </c>
      <c r="E463" s="5" t="n">
        <v>-0.02</v>
      </c>
      <c r="F463" s="5" t="n">
        <v>0.00507816196279936</v>
      </c>
      <c r="G463" s="5" t="n">
        <v>1.2613</v>
      </c>
      <c r="H463" s="2" t="n">
        <f aca="false">D463*F463</f>
        <v>1.14586287172825</v>
      </c>
      <c r="I463" s="2" t="n">
        <f aca="false">IF(G463="","",D463*1000000/Inputs!$B$4^2*Inputs!$B$5/G463)</f>
        <v>0.909112494902095</v>
      </c>
      <c r="J463" s="2" t="n">
        <f aca="false">IF(C463="A",Inputs!$B$7,IF(C463="B",Inputs!$B$8,IF(C463="C",Inputs!$B$9,0)))</f>
        <v>1</v>
      </c>
      <c r="K463" s="2" t="n">
        <f aca="false">IF(AND(E463&lt;&gt;"",G463&lt;&gt;"",J463&gt;0),IF(I463&gt;=Inputs!$B$6,1,0),0)</f>
        <v>0</v>
      </c>
      <c r="L463" s="5" t="n">
        <v>0</v>
      </c>
      <c r="M463" s="5" t="n">
        <v>225.644</v>
      </c>
      <c r="N463" s="5" t="n">
        <v>1.15</v>
      </c>
      <c r="O463" s="4" t="s">
        <v>64</v>
      </c>
      <c r="P463" s="2" t="n">
        <f aca="false">IF(K463=1,J463/G463^2,0)</f>
        <v>0</v>
      </c>
      <c r="Q463" s="2" t="n">
        <f aca="false">IF(K463=1,((E463-Result!$B$7*D463)/G463)^2,0)</f>
        <v>0</v>
      </c>
    </row>
    <row r="464" customFormat="false" ht="15" hidden="false" customHeight="false" outlineLevel="0" collapsed="false">
      <c r="A464" s="4" t="s">
        <v>37</v>
      </c>
      <c r="B464" s="4" t="s">
        <v>530</v>
      </c>
      <c r="C464" s="4" t="s">
        <v>63</v>
      </c>
      <c r="D464" s="5" t="n">
        <v>120.1665</v>
      </c>
      <c r="E464" s="5" t="n">
        <v>2.23</v>
      </c>
      <c r="F464" s="5" t="n">
        <v>0.00507810725997123</v>
      </c>
      <c r="G464" s="5" t="n">
        <v>1.2613</v>
      </c>
      <c r="H464" s="2" t="n">
        <f aca="false">D464*F464</f>
        <v>0.610218376055333</v>
      </c>
      <c r="I464" s="2" t="n">
        <f aca="false">IF(G464="","",D464*1000000/Inputs!$B$4^2*Inputs!$B$5/G464)</f>
        <v>0.484144429478901</v>
      </c>
      <c r="J464" s="2" t="n">
        <f aca="false">IF(C464="A",Inputs!$B$7,IF(C464="B",Inputs!$B$8,IF(C464="C",Inputs!$B$9,0)))</f>
        <v>1</v>
      </c>
      <c r="K464" s="2" t="n">
        <f aca="false">IF(AND(E464&lt;&gt;"",G464&lt;&gt;"",J464&gt;0),IF(I464&gt;=Inputs!$B$6,1,0),0)</f>
        <v>0</v>
      </c>
      <c r="L464" s="5" t="n">
        <v>0</v>
      </c>
      <c r="M464" s="5" t="n">
        <v>120.166</v>
      </c>
      <c r="N464" s="5" t="n">
        <v>0.61</v>
      </c>
      <c r="O464" s="4" t="s">
        <v>64</v>
      </c>
      <c r="P464" s="2" t="n">
        <f aca="false">IF(K464=1,J464/G464^2,0)</f>
        <v>0</v>
      </c>
      <c r="Q464" s="2" t="n">
        <f aca="false">IF(K464=1,((E464-Result!$B$7*D464)/G464)^2,0)</f>
        <v>0</v>
      </c>
    </row>
    <row r="465" customFormat="false" ht="15" hidden="false" customHeight="false" outlineLevel="0" collapsed="false">
      <c r="A465" s="4" t="s">
        <v>37</v>
      </c>
      <c r="B465" s="4" t="s">
        <v>531</v>
      </c>
      <c r="C465" s="4" t="s">
        <v>63</v>
      </c>
      <c r="D465" s="5" t="n">
        <v>80.9616</v>
      </c>
      <c r="E465" s="5" t="n">
        <v>1.16</v>
      </c>
      <c r="F465" s="5" t="n">
        <v>0.00507805477781542</v>
      </c>
      <c r="G465" s="5" t="n">
        <v>1.2613</v>
      </c>
      <c r="H465" s="2" t="n">
        <f aca="false">D465*F465</f>
        <v>0.411127439699581</v>
      </c>
      <c r="I465" s="2" t="n">
        <f aca="false">IF(G465="","",D465*1000000/Inputs!$B$4^2*Inputs!$B$5/G465)</f>
        <v>0.326189975090387</v>
      </c>
      <c r="J465" s="2" t="n">
        <f aca="false">IF(C465="A",Inputs!$B$7,IF(C465="B",Inputs!$B$8,IF(C465="C",Inputs!$B$9,0)))</f>
        <v>1</v>
      </c>
      <c r="K465" s="2" t="n">
        <f aca="false">IF(AND(E465&lt;&gt;"",G465&lt;&gt;"",J465&gt;0),IF(I465&gt;=Inputs!$B$6,1,0),0)</f>
        <v>0</v>
      </c>
      <c r="L465" s="5" t="n">
        <v>0</v>
      </c>
      <c r="M465" s="5" t="n">
        <v>80.9614</v>
      </c>
      <c r="N465" s="5" t="n">
        <v>0.41</v>
      </c>
      <c r="O465" s="4" t="s">
        <v>64</v>
      </c>
      <c r="P465" s="2" t="n">
        <f aca="false">IF(K465=1,J465/G465^2,0)</f>
        <v>0</v>
      </c>
      <c r="Q465" s="2" t="n">
        <f aca="false">IF(K465=1,((E465-Result!$B$7*D465)/G465)^2,0)</f>
        <v>0</v>
      </c>
    </row>
    <row r="466" customFormat="false" ht="15" hidden="false" customHeight="false" outlineLevel="0" collapsed="false">
      <c r="A466" s="4" t="s">
        <v>37</v>
      </c>
      <c r="B466" s="4" t="s">
        <v>532</v>
      </c>
      <c r="C466" s="4" t="s">
        <v>63</v>
      </c>
      <c r="D466" s="5" t="n">
        <v>98.3665</v>
      </c>
      <c r="E466" s="5" t="n">
        <v>-0.37</v>
      </c>
      <c r="F466" s="5" t="n">
        <v>0.00507800978986152</v>
      </c>
      <c r="G466" s="5" t="n">
        <v>1.2613</v>
      </c>
      <c r="H466" s="2" t="n">
        <f aca="false">D466*F466</f>
        <v>0.499506049994413</v>
      </c>
      <c r="I466" s="2" t="n">
        <f aca="false">IF(G466="","",D466*1000000/Inputs!$B$4^2*Inputs!$B$5/G466)</f>
        <v>0.396313390357016</v>
      </c>
      <c r="J466" s="2" t="n">
        <f aca="false">IF(C466="A",Inputs!$B$7,IF(C466="B",Inputs!$B$8,IF(C466="C",Inputs!$B$9,0)))</f>
        <v>1</v>
      </c>
      <c r="K466" s="2" t="n">
        <f aca="false">IF(AND(E466&lt;&gt;"",G466&lt;&gt;"",J466&gt;0),IF(I466&gt;=Inputs!$B$6,1,0),0)</f>
        <v>0</v>
      </c>
      <c r="L466" s="5" t="n">
        <v>0</v>
      </c>
      <c r="M466" s="5" t="n">
        <v>98.3662</v>
      </c>
      <c r="N466" s="5" t="n">
        <v>0.5</v>
      </c>
      <c r="O466" s="4" t="s">
        <v>64</v>
      </c>
      <c r="P466" s="2" t="n">
        <f aca="false">IF(K466=1,J466/G466^2,0)</f>
        <v>0</v>
      </c>
      <c r="Q466" s="2" t="n">
        <f aca="false">IF(K466=1,((E466-Result!$B$7*D466)/G466)^2,0)</f>
        <v>0</v>
      </c>
    </row>
    <row r="467" customFormat="false" ht="15" hidden="false" customHeight="false" outlineLevel="0" collapsed="false">
      <c r="A467" s="4" t="s">
        <v>37</v>
      </c>
      <c r="B467" s="4" t="s">
        <v>533</v>
      </c>
      <c r="C467" s="4" t="s">
        <v>63</v>
      </c>
      <c r="D467" s="5" t="n">
        <v>255.8501</v>
      </c>
      <c r="E467" s="5" t="n">
        <v>0.23</v>
      </c>
      <c r="F467" s="5" t="n">
        <v>0.00507802237426141</v>
      </c>
      <c r="G467" s="5" t="n">
        <v>1.2613</v>
      </c>
      <c r="H467" s="2" t="n">
        <f aca="false">D467*F467</f>
        <v>1.29921253225702</v>
      </c>
      <c r="I467" s="2" t="n">
        <f aca="false">IF(G467="","",D467*1000000/Inputs!$B$4^2*Inputs!$B$5/G467)</f>
        <v>1.03080642855222</v>
      </c>
      <c r="J467" s="2" t="n">
        <f aca="false">IF(C467="A",Inputs!$B$7,IF(C467="B",Inputs!$B$8,IF(C467="C",Inputs!$B$9,0)))</f>
        <v>1</v>
      </c>
      <c r="K467" s="2" t="n">
        <f aca="false">IF(AND(E467&lt;&gt;"",G467&lt;&gt;"",J467&gt;0),IF(I467&gt;=Inputs!$B$6,1,0),0)</f>
        <v>0</v>
      </c>
      <c r="L467" s="5" t="n">
        <v>1</v>
      </c>
      <c r="M467" s="5" t="n">
        <v>255.8488</v>
      </c>
      <c r="N467" s="5" t="n">
        <v>1.3</v>
      </c>
      <c r="O467" s="4" t="s">
        <v>64</v>
      </c>
      <c r="P467" s="2" t="n">
        <f aca="false">IF(K467=1,J467/G467^2,0)</f>
        <v>0</v>
      </c>
      <c r="Q467" s="2" t="n">
        <f aca="false">IF(K467=1,((E467-Result!$B$7*D467)/G467)^2,0)</f>
        <v>0</v>
      </c>
    </row>
    <row r="468" customFormat="false" ht="15" hidden="false" customHeight="false" outlineLevel="0" collapsed="false">
      <c r="A468" s="4" t="s">
        <v>37</v>
      </c>
      <c r="B468" s="4" t="s">
        <v>534</v>
      </c>
      <c r="C468" s="4" t="s">
        <v>63</v>
      </c>
      <c r="D468" s="5" t="n">
        <v>117.6644</v>
      </c>
      <c r="E468" s="5" t="n">
        <v>-0.98</v>
      </c>
      <c r="F468" s="5" t="n">
        <v>0.00507796368190712</v>
      </c>
      <c r="G468" s="5" t="n">
        <v>1.2613</v>
      </c>
      <c r="H468" s="2" t="n">
        <f aca="false">D468*F468</f>
        <v>0.597495549853392</v>
      </c>
      <c r="I468" s="2" t="n">
        <f aca="false">IF(G468="","",D468*1000000/Inputs!$B$4^2*Inputs!$B$5/G468)</f>
        <v>0.474063601818953</v>
      </c>
      <c r="J468" s="2" t="n">
        <f aca="false">IF(C468="A",Inputs!$B$7,IF(C468="B",Inputs!$B$8,IF(C468="C",Inputs!$B$9,0)))</f>
        <v>1</v>
      </c>
      <c r="K468" s="2" t="n">
        <f aca="false">IF(AND(E468&lt;&gt;"",G468&lt;&gt;"",J468&gt;0),IF(I468&gt;=Inputs!$B$6,1,0),0)</f>
        <v>0</v>
      </c>
      <c r="L468" s="5" t="n">
        <v>0</v>
      </c>
      <c r="M468" s="5" t="n">
        <v>117.6639</v>
      </c>
      <c r="N468" s="5" t="n">
        <v>0.6</v>
      </c>
      <c r="O468" s="4" t="s">
        <v>64</v>
      </c>
      <c r="P468" s="2" t="n">
        <f aca="false">IF(K468=1,J468/G468^2,0)</f>
        <v>0</v>
      </c>
      <c r="Q468" s="2" t="n">
        <f aca="false">IF(K468=1,((E468-Result!$B$7*D468)/G468)^2,0)</f>
        <v>0</v>
      </c>
    </row>
    <row r="469" customFormat="false" ht="15" hidden="false" customHeight="false" outlineLevel="0" collapsed="false">
      <c r="A469" s="4" t="s">
        <v>37</v>
      </c>
      <c r="B469" s="4" t="s">
        <v>535</v>
      </c>
      <c r="C469" s="4" t="s">
        <v>63</v>
      </c>
      <c r="D469" s="5" t="n">
        <v>74.2175</v>
      </c>
      <c r="E469" s="5" t="n">
        <v>-0.63</v>
      </c>
      <c r="F469" s="5" t="n">
        <v>0.00507805103705653</v>
      </c>
      <c r="G469" s="5" t="n">
        <v>1.2613</v>
      </c>
      <c r="H469" s="2" t="n">
        <f aca="false">D469*F469</f>
        <v>0.376880252842743</v>
      </c>
      <c r="I469" s="2" t="n">
        <f aca="false">IF(G469="","",D469*1000000/Inputs!$B$4^2*Inputs!$B$5/G469)</f>
        <v>0.29901835532241</v>
      </c>
      <c r="J469" s="2" t="n">
        <f aca="false">IF(C469="A",Inputs!$B$7,IF(C469="B",Inputs!$B$8,IF(C469="C",Inputs!$B$9,0)))</f>
        <v>1</v>
      </c>
      <c r="K469" s="2" t="n">
        <f aca="false">IF(AND(E469&lt;&gt;"",G469&lt;&gt;"",J469&gt;0),IF(I469&gt;=Inputs!$B$6,1,0),0)</f>
        <v>0</v>
      </c>
      <c r="L469" s="5" t="n">
        <v>0</v>
      </c>
      <c r="M469" s="5" t="n">
        <v>74.2172</v>
      </c>
      <c r="N469" s="5" t="n">
        <v>0.38</v>
      </c>
      <c r="O469" s="4" t="s">
        <v>64</v>
      </c>
      <c r="P469" s="2" t="n">
        <f aca="false">IF(K469=1,J469/G469^2,0)</f>
        <v>0</v>
      </c>
      <c r="Q469" s="2" t="n">
        <f aca="false">IF(K469=1,((E469-Result!$B$7*D469)/G469)^2,0)</f>
        <v>0</v>
      </c>
    </row>
    <row r="470" customFormat="false" ht="15" hidden="false" customHeight="false" outlineLevel="0" collapsed="false">
      <c r="A470" s="4" t="s">
        <v>37</v>
      </c>
      <c r="B470" s="4" t="s">
        <v>536</v>
      </c>
      <c r="C470" s="4" t="s">
        <v>63</v>
      </c>
      <c r="D470" s="5" t="n">
        <v>263.0344</v>
      </c>
      <c r="E470" s="5" t="n">
        <v>1.37</v>
      </c>
      <c r="F470" s="5" t="n">
        <v>0.00507801222595386</v>
      </c>
      <c r="G470" s="5" t="n">
        <v>1.2613</v>
      </c>
      <c r="H470" s="2" t="n">
        <f aca="false">D470*F470</f>
        <v>1.33569189904644</v>
      </c>
      <c r="I470" s="2" t="n">
        <f aca="false">IF(G470="","",D470*1000000/Inputs!$B$4^2*Inputs!$B$5/G470)</f>
        <v>1.05975159067898</v>
      </c>
      <c r="J470" s="2" t="n">
        <f aca="false">IF(C470="A",Inputs!$B$7,IF(C470="B",Inputs!$B$8,IF(C470="C",Inputs!$B$9,0)))</f>
        <v>1</v>
      </c>
      <c r="K470" s="2" t="n">
        <f aca="false">IF(AND(E470&lt;&gt;"",G470&lt;&gt;"",J470&gt;0),IF(I470&gt;=Inputs!$B$6,1,0),0)</f>
        <v>0</v>
      </c>
      <c r="L470" s="5" t="n">
        <v>1</v>
      </c>
      <c r="M470" s="5" t="n">
        <v>263.0338</v>
      </c>
      <c r="N470" s="5" t="n">
        <v>1.34</v>
      </c>
      <c r="O470" s="4" t="s">
        <v>64</v>
      </c>
      <c r="P470" s="2" t="n">
        <f aca="false">IF(K470=1,J470/G470^2,0)</f>
        <v>0</v>
      </c>
      <c r="Q470" s="2" t="n">
        <f aca="false">IF(K470=1,((E470-Result!$B$7*D470)/G470)^2,0)</f>
        <v>0</v>
      </c>
    </row>
    <row r="471" customFormat="false" ht="15" hidden="false" customHeight="false" outlineLevel="0" collapsed="false">
      <c r="A471" s="4" t="s">
        <v>37</v>
      </c>
      <c r="B471" s="4" t="s">
        <v>537</v>
      </c>
      <c r="C471" s="4" t="s">
        <v>63</v>
      </c>
      <c r="D471" s="5" t="n">
        <v>107.8554</v>
      </c>
      <c r="E471" s="5" t="n">
        <v>0.84</v>
      </c>
      <c r="F471" s="5" t="n">
        <v>0.00507795352956279</v>
      </c>
      <c r="G471" s="5" t="n">
        <v>1.2613</v>
      </c>
      <c r="H471" s="2" t="n">
        <f aca="false">D471*F471</f>
        <v>0.547684709112406</v>
      </c>
      <c r="I471" s="2" t="n">
        <f aca="false">IF(G471="","",D471*1000000/Inputs!$B$4^2*Inputs!$B$5/G471)</f>
        <v>0.434543663160853</v>
      </c>
      <c r="J471" s="2" t="n">
        <f aca="false">IF(C471="A",Inputs!$B$7,IF(C471="B",Inputs!$B$8,IF(C471="C",Inputs!$B$9,0)))</f>
        <v>1</v>
      </c>
      <c r="K471" s="2" t="n">
        <f aca="false">IF(AND(E471&lt;&gt;"",G471&lt;&gt;"",J471&gt;0),IF(I471&gt;=Inputs!$B$6,1,0),0)</f>
        <v>0</v>
      </c>
      <c r="L471" s="5" t="n">
        <v>0</v>
      </c>
      <c r="M471" s="5" t="n">
        <v>107.8552</v>
      </c>
      <c r="N471" s="5" t="n">
        <v>0.55</v>
      </c>
      <c r="O471" s="4" t="s">
        <v>64</v>
      </c>
      <c r="P471" s="2" t="n">
        <f aca="false">IF(K471=1,J471/G471^2,0)</f>
        <v>0</v>
      </c>
      <c r="Q471" s="2" t="n">
        <f aca="false">IF(K471=1,((E471-Result!$B$7*D471)/G471)^2,0)</f>
        <v>0</v>
      </c>
    </row>
    <row r="472" customFormat="false" ht="15" hidden="false" customHeight="false" outlineLevel="0" collapsed="false">
      <c r="A472" s="4" t="s">
        <v>37</v>
      </c>
      <c r="B472" s="4" t="s">
        <v>538</v>
      </c>
      <c r="C472" s="4" t="s">
        <v>63</v>
      </c>
      <c r="D472" s="5" t="n">
        <v>326.2885</v>
      </c>
      <c r="E472" s="5" t="n">
        <v>2.09</v>
      </c>
      <c r="F472" s="5" t="n">
        <v>0.00507802570183524</v>
      </c>
      <c r="G472" s="5" t="n">
        <v>1.2613</v>
      </c>
      <c r="H472" s="2" t="n">
        <f aca="false">D472*F472</f>
        <v>1.65690138921327</v>
      </c>
      <c r="I472" s="2" t="n">
        <f aca="false">IF(G472="","",D472*1000000/Inputs!$B$4^2*Inputs!$B$5/G472)</f>
        <v>1.31459899121657</v>
      </c>
      <c r="J472" s="2" t="n">
        <f aca="false">IF(C472="A",Inputs!$B$7,IF(C472="B",Inputs!$B$8,IF(C472="C",Inputs!$B$9,0)))</f>
        <v>1</v>
      </c>
      <c r="K472" s="2" t="n">
        <f aca="false">IF(AND(E472&lt;&gt;"",G472&lt;&gt;"",J472&gt;0),IF(I472&gt;=Inputs!$B$6,1,0),0)</f>
        <v>0</v>
      </c>
      <c r="L472" s="5" t="n">
        <v>0</v>
      </c>
      <c r="M472" s="5" t="n">
        <v>326.2877</v>
      </c>
      <c r="N472" s="5" t="n">
        <v>1.66</v>
      </c>
      <c r="O472" s="4" t="s">
        <v>64</v>
      </c>
      <c r="P472" s="2" t="n">
        <f aca="false">IF(K472=1,J472/G472^2,0)</f>
        <v>0</v>
      </c>
      <c r="Q472" s="2" t="n">
        <f aca="false">IF(K472=1,((E472-Result!$B$7*D472)/G472)^2,0)</f>
        <v>0</v>
      </c>
    </row>
    <row r="473" customFormat="false" ht="15" hidden="false" customHeight="false" outlineLevel="0" collapsed="false">
      <c r="A473" s="4" t="s">
        <v>37</v>
      </c>
      <c r="B473" s="4" t="s">
        <v>539</v>
      </c>
      <c r="C473" s="4" t="s">
        <v>63</v>
      </c>
      <c r="D473" s="5" t="n">
        <v>416.1598</v>
      </c>
      <c r="E473" s="5" t="n">
        <v>1.04</v>
      </c>
      <c r="F473" s="5" t="n">
        <v>0.00507794144224535</v>
      </c>
      <c r="G473" s="5" t="n">
        <v>1.2613</v>
      </c>
      <c r="H473" s="2" t="n">
        <f aca="false">D473*F473</f>
        <v>2.11323509501654</v>
      </c>
      <c r="I473" s="2" t="n">
        <f aca="false">IF(G473="","",D473*1000000/Inputs!$B$4^2*Inputs!$B$5/G473)</f>
        <v>1.67668567315395</v>
      </c>
      <c r="J473" s="2" t="n">
        <f aca="false">IF(C473="A",Inputs!$B$7,IF(C473="B",Inputs!$B$8,IF(C473="C",Inputs!$B$9,0)))</f>
        <v>1</v>
      </c>
      <c r="K473" s="2" t="n">
        <f aca="false">IF(AND(E473&lt;&gt;"",G473&lt;&gt;"",J473&gt;0),IF(I473&gt;=Inputs!$B$6,1,0),0)</f>
        <v>0</v>
      </c>
      <c r="L473" s="5" t="n">
        <v>1</v>
      </c>
      <c r="M473" s="5" t="n">
        <v>416.1591</v>
      </c>
      <c r="N473" s="5" t="n">
        <v>2.11</v>
      </c>
      <c r="O473" s="4" t="s">
        <v>64</v>
      </c>
      <c r="P473" s="2" t="n">
        <f aca="false">IF(K473=1,J473/G473^2,0)</f>
        <v>0</v>
      </c>
      <c r="Q473" s="2" t="n">
        <f aca="false">IF(K473=1,((E473-Result!$B$7*D473)/G473)^2,0)</f>
        <v>0</v>
      </c>
    </row>
    <row r="474" customFormat="false" ht="15" hidden="false" customHeight="false" outlineLevel="0" collapsed="false">
      <c r="A474" s="4" t="s">
        <v>37</v>
      </c>
      <c r="B474" s="4" t="s">
        <v>540</v>
      </c>
      <c r="C474" s="4" t="s">
        <v>63</v>
      </c>
      <c r="D474" s="5" t="n">
        <v>359.2251</v>
      </c>
      <c r="E474" s="5" t="n">
        <v>1.23</v>
      </c>
      <c r="F474" s="5" t="n">
        <v>0.00507791615915307</v>
      </c>
      <c r="G474" s="5" t="n">
        <v>1.2613</v>
      </c>
      <c r="H474" s="2" t="n">
        <f aca="false">D474*F474</f>
        <v>1.82411494006338</v>
      </c>
      <c r="I474" s="2" t="n">
        <f aca="false">IF(G474="","",D474*1000000/Inputs!$B$4^2*Inputs!$B$5/G474)</f>
        <v>1.44729879870015</v>
      </c>
      <c r="J474" s="2" t="n">
        <f aca="false">IF(C474="A",Inputs!$B$7,IF(C474="B",Inputs!$B$8,IF(C474="C",Inputs!$B$9,0)))</f>
        <v>1</v>
      </c>
      <c r="K474" s="2" t="n">
        <f aca="false">IF(AND(E474&lt;&gt;"",G474&lt;&gt;"",J474&gt;0),IF(I474&gt;=Inputs!$B$6,1,0),0)</f>
        <v>0</v>
      </c>
      <c r="L474" s="5" t="n">
        <v>0</v>
      </c>
      <c r="M474" s="5" t="n">
        <v>359.224</v>
      </c>
      <c r="N474" s="5" t="n">
        <v>1.82</v>
      </c>
      <c r="O474" s="4" t="s">
        <v>64</v>
      </c>
      <c r="P474" s="2" t="n">
        <f aca="false">IF(K474=1,J474/G474^2,0)</f>
        <v>0</v>
      </c>
      <c r="Q474" s="2" t="n">
        <f aca="false">IF(K474=1,((E474-Result!$B$7*D474)/G474)^2,0)</f>
        <v>0</v>
      </c>
    </row>
    <row r="475" customFormat="false" ht="15" hidden="false" customHeight="false" outlineLevel="0" collapsed="false">
      <c r="A475" s="4" t="s">
        <v>37</v>
      </c>
      <c r="B475" s="4" t="s">
        <v>541</v>
      </c>
      <c r="C475" s="4" t="s">
        <v>63</v>
      </c>
      <c r="D475" s="5" t="n">
        <v>269.3537</v>
      </c>
      <c r="E475" s="5" t="n">
        <v>2.28</v>
      </c>
      <c r="F475" s="5" t="n">
        <v>0.00507800978274889</v>
      </c>
      <c r="G475" s="5" t="n">
        <v>1.2613</v>
      </c>
      <c r="H475" s="2" t="n">
        <f aca="false">D475*F475</f>
        <v>1.36778072361961</v>
      </c>
      <c r="I475" s="2" t="n">
        <f aca="false">IF(G475="","",D475*1000000/Inputs!$B$4^2*Inputs!$B$5/G475)</f>
        <v>1.0852117138681</v>
      </c>
      <c r="J475" s="2" t="n">
        <f aca="false">IF(C475="A",Inputs!$B$7,IF(C475="B",Inputs!$B$8,IF(C475="C",Inputs!$B$9,0)))</f>
        <v>1</v>
      </c>
      <c r="K475" s="2" t="n">
        <f aca="false">IF(AND(E475&lt;&gt;"",G475&lt;&gt;"",J475&gt;0),IF(I475&gt;=Inputs!$B$6,1,0),0)</f>
        <v>0</v>
      </c>
      <c r="L475" s="5" t="n">
        <v>1</v>
      </c>
      <c r="M475" s="5" t="n">
        <v>269.3527</v>
      </c>
      <c r="N475" s="5" t="n">
        <v>1.37</v>
      </c>
      <c r="O475" s="4" t="s">
        <v>64</v>
      </c>
      <c r="P475" s="2" t="n">
        <f aca="false">IF(K475=1,J475/G475^2,0)</f>
        <v>0</v>
      </c>
      <c r="Q475" s="2" t="n">
        <f aca="false">IF(K475=1,((E475-Result!$B$7*D475)/G475)^2,0)</f>
        <v>0</v>
      </c>
    </row>
    <row r="476" customFormat="false" ht="15" hidden="false" customHeight="false" outlineLevel="0" collapsed="false">
      <c r="A476" s="4" t="s">
        <v>37</v>
      </c>
      <c r="B476" s="4" t="s">
        <v>542</v>
      </c>
      <c r="C476" s="4" t="s">
        <v>63</v>
      </c>
      <c r="D476" s="5" t="n">
        <v>242.0996</v>
      </c>
      <c r="E476" s="5" t="n">
        <v>0.56</v>
      </c>
      <c r="F476" s="5" t="n">
        <v>0.00507792144352225</v>
      </c>
      <c r="G476" s="5" t="n">
        <v>1.2613</v>
      </c>
      <c r="H476" s="2" t="n">
        <f aca="false">D476*F476</f>
        <v>1.22936275030816</v>
      </c>
      <c r="I476" s="2" t="n">
        <f aca="false">IF(G476="","",D476*1000000/Inputs!$B$4^2*Inputs!$B$5/G476)</f>
        <v>0.975406396284075</v>
      </c>
      <c r="J476" s="2" t="n">
        <f aca="false">IF(C476="A",Inputs!$B$7,IF(C476="B",Inputs!$B$8,IF(C476="C",Inputs!$B$9,0)))</f>
        <v>1</v>
      </c>
      <c r="K476" s="2" t="n">
        <f aca="false">IF(AND(E476&lt;&gt;"",G476&lt;&gt;"",J476&gt;0),IF(I476&gt;=Inputs!$B$6,1,0),0)</f>
        <v>0</v>
      </c>
      <c r="L476" s="5" t="n">
        <v>1</v>
      </c>
      <c r="M476" s="5" t="n">
        <v>242.0985</v>
      </c>
      <c r="N476" s="5" t="n">
        <v>1.23</v>
      </c>
      <c r="O476" s="4" t="s">
        <v>64</v>
      </c>
      <c r="P476" s="2" t="n">
        <f aca="false">IF(K476=1,J476/G476^2,0)</f>
        <v>0</v>
      </c>
      <c r="Q476" s="2" t="n">
        <f aca="false">IF(K476=1,((E476-Result!$B$7*D476)/G476)^2,0)</f>
        <v>0</v>
      </c>
    </row>
    <row r="477" customFormat="false" ht="15" hidden="false" customHeight="false" outlineLevel="0" collapsed="false">
      <c r="A477" s="4" t="s">
        <v>37</v>
      </c>
      <c r="B477" s="4" t="s">
        <v>543</v>
      </c>
      <c r="C477" s="4" t="s">
        <v>63</v>
      </c>
      <c r="D477" s="5" t="n">
        <v>157.7621</v>
      </c>
      <c r="E477" s="5" t="n">
        <v>0.71</v>
      </c>
      <c r="F477" s="5" t="n">
        <v>0.00507781357330344</v>
      </c>
      <c r="G477" s="5" t="n">
        <v>1.2613</v>
      </c>
      <c r="H477" s="2" t="n">
        <f aca="false">D477*F477</f>
        <v>0.801086532732855</v>
      </c>
      <c r="I477" s="2" t="n">
        <f aca="false">IF(G477="","",D477*1000000/Inputs!$B$4^2*Inputs!$B$5/G477)</f>
        <v>0.635615099864716</v>
      </c>
      <c r="J477" s="2" t="n">
        <f aca="false">IF(C477="A",Inputs!$B$7,IF(C477="B",Inputs!$B$8,IF(C477="C",Inputs!$B$9,0)))</f>
        <v>1</v>
      </c>
      <c r="K477" s="2" t="n">
        <f aca="false">IF(AND(E477&lt;&gt;"",G477&lt;&gt;"",J477&gt;0),IF(I477&gt;=Inputs!$B$6,1,0),0)</f>
        <v>0</v>
      </c>
      <c r="L477" s="5" t="n">
        <v>1</v>
      </c>
      <c r="M477" s="5" t="n">
        <v>157.7614</v>
      </c>
      <c r="N477" s="5" t="n">
        <v>0.8</v>
      </c>
      <c r="O477" s="4" t="s">
        <v>64</v>
      </c>
      <c r="P477" s="2" t="n">
        <f aca="false">IF(K477=1,J477/G477^2,0)</f>
        <v>0</v>
      </c>
      <c r="Q477" s="2" t="n">
        <f aca="false">IF(K477=1,((E477-Result!$B$7*D477)/G477)^2,0)</f>
        <v>0</v>
      </c>
    </row>
    <row r="478" customFormat="false" ht="15" hidden="false" customHeight="false" outlineLevel="0" collapsed="false">
      <c r="A478" s="4" t="s">
        <v>37</v>
      </c>
      <c r="B478" s="4" t="s">
        <v>544</v>
      </c>
      <c r="C478" s="4" t="s">
        <v>63</v>
      </c>
      <c r="D478" s="5" t="n">
        <v>208.6965</v>
      </c>
      <c r="E478" s="5" t="n">
        <v>1.35</v>
      </c>
      <c r="F478" s="5" t="n">
        <v>0.00507797538107515</v>
      </c>
      <c r="G478" s="5" t="n">
        <v>1.2613</v>
      </c>
      <c r="H478" s="2" t="n">
        <f aca="false">D478*F478</f>
        <v>1.05975568911655</v>
      </c>
      <c r="I478" s="2" t="n">
        <f aca="false">IF(G478="","",D478*1000000/Inputs!$B$4^2*Inputs!$B$5/G478)</f>
        <v>0.840827085142228</v>
      </c>
      <c r="J478" s="2" t="n">
        <f aca="false">IF(C478="A",Inputs!$B$7,IF(C478="B",Inputs!$B$8,IF(C478="C",Inputs!$B$9,0)))</f>
        <v>1</v>
      </c>
      <c r="K478" s="2" t="n">
        <f aca="false">IF(AND(E478&lt;&gt;"",G478&lt;&gt;"",J478&gt;0),IF(I478&gt;=Inputs!$B$6,1,0),0)</f>
        <v>0</v>
      </c>
      <c r="L478" s="5" t="n">
        <v>1</v>
      </c>
      <c r="M478" s="5" t="n">
        <v>208.6959</v>
      </c>
      <c r="N478" s="5" t="n">
        <v>1.06</v>
      </c>
      <c r="O478" s="4" t="s">
        <v>64</v>
      </c>
      <c r="P478" s="2" t="n">
        <f aca="false">IF(K478=1,J478/G478^2,0)</f>
        <v>0</v>
      </c>
      <c r="Q478" s="2" t="n">
        <f aca="false">IF(K478=1,((E478-Result!$B$7*D478)/G478)^2,0)</f>
        <v>0</v>
      </c>
    </row>
    <row r="479" customFormat="false" ht="15" hidden="false" customHeight="false" outlineLevel="0" collapsed="false">
      <c r="A479" s="4" t="s">
        <v>37</v>
      </c>
      <c r="B479" s="4" t="s">
        <v>545</v>
      </c>
      <c r="C479" s="4" t="s">
        <v>63</v>
      </c>
      <c r="D479" s="5" t="n">
        <v>126.3363</v>
      </c>
      <c r="E479" s="5" t="n">
        <v>0.62</v>
      </c>
      <c r="F479" s="5" t="n">
        <v>0.00507786754974403</v>
      </c>
      <c r="G479" s="5" t="n">
        <v>1.2613</v>
      </c>
      <c r="H479" s="2" t="n">
        <f aca="false">D479*F479</f>
        <v>0.641518998124727</v>
      </c>
      <c r="I479" s="2" t="n">
        <f aca="false">IF(G479="","",D479*1000000/Inputs!$B$4^2*Inputs!$B$5/G479)</f>
        <v>0.509002225129095</v>
      </c>
      <c r="J479" s="2" t="n">
        <f aca="false">IF(C479="A",Inputs!$B$7,IF(C479="B",Inputs!$B$8,IF(C479="C",Inputs!$B$9,0)))</f>
        <v>1</v>
      </c>
      <c r="K479" s="2" t="n">
        <f aca="false">IF(AND(E479&lt;&gt;"",G479&lt;&gt;"",J479&gt;0),IF(I479&gt;=Inputs!$B$6,1,0),0)</f>
        <v>0</v>
      </c>
      <c r="L479" s="5" t="n">
        <v>1</v>
      </c>
      <c r="M479" s="5" t="n">
        <v>126.3357</v>
      </c>
      <c r="N479" s="5" t="n">
        <v>0.64</v>
      </c>
      <c r="O479" s="4" t="s">
        <v>64</v>
      </c>
      <c r="P479" s="2" t="n">
        <f aca="false">IF(K479=1,J479/G479^2,0)</f>
        <v>0</v>
      </c>
      <c r="Q479" s="2" t="n">
        <f aca="false">IF(K479=1,((E479-Result!$B$7*D479)/G479)^2,0)</f>
        <v>0</v>
      </c>
    </row>
    <row r="480" customFormat="false" ht="15" hidden="false" customHeight="false" outlineLevel="0" collapsed="false">
      <c r="A480" s="4" t="s">
        <v>37</v>
      </c>
      <c r="B480" s="4" t="s">
        <v>546</v>
      </c>
      <c r="C480" s="4" t="s">
        <v>63</v>
      </c>
      <c r="D480" s="5" t="n">
        <v>178.0056</v>
      </c>
      <c r="E480" s="5" t="n">
        <v>2.14</v>
      </c>
      <c r="F480" s="5" t="n">
        <v>0.00507782949121586</v>
      </c>
      <c r="G480" s="5" t="n">
        <v>1.2613</v>
      </c>
      <c r="H480" s="2" t="n">
        <f aca="false">D480*F480</f>
        <v>0.903882085281574</v>
      </c>
      <c r="I480" s="2" t="n">
        <f aca="false">IF(G480="","",D480*1000000/Inputs!$B$4^2*Inputs!$B$5/G480)</f>
        <v>0.717175083372234</v>
      </c>
      <c r="J480" s="2" t="n">
        <f aca="false">IF(C480="A",Inputs!$B$7,IF(C480="B",Inputs!$B$8,IF(C480="C",Inputs!$B$9,0)))</f>
        <v>1</v>
      </c>
      <c r="K480" s="2" t="n">
        <f aca="false">IF(AND(E480&lt;&gt;"",G480&lt;&gt;"",J480&gt;0),IF(I480&gt;=Inputs!$B$6,1,0),0)</f>
        <v>0</v>
      </c>
      <c r="L480" s="5" t="n">
        <v>1</v>
      </c>
      <c r="M480" s="5" t="n">
        <v>178.0045</v>
      </c>
      <c r="N480" s="5" t="n">
        <v>0.9</v>
      </c>
      <c r="O480" s="4" t="s">
        <v>64</v>
      </c>
      <c r="P480" s="2" t="n">
        <f aca="false">IF(K480=1,J480/G480^2,0)</f>
        <v>0</v>
      </c>
      <c r="Q480" s="2" t="n">
        <f aca="false">IF(K480=1,((E480-Result!$B$7*D480)/G480)^2,0)</f>
        <v>0</v>
      </c>
    </row>
    <row r="481" customFormat="false" ht="15" hidden="false" customHeight="false" outlineLevel="0" collapsed="false">
      <c r="A481" s="4" t="s">
        <v>37</v>
      </c>
      <c r="B481" s="4" t="s">
        <v>547</v>
      </c>
      <c r="C481" s="4" t="s">
        <v>63</v>
      </c>
      <c r="D481" s="5" t="n">
        <v>177.4915</v>
      </c>
      <c r="E481" s="5" t="n">
        <v>1.34</v>
      </c>
      <c r="F481" s="5" t="n">
        <v>0.00507790340101258</v>
      </c>
      <c r="G481" s="5" t="n">
        <v>1.2613</v>
      </c>
      <c r="H481" s="2" t="n">
        <f aca="false">D481*F481</f>
        <v>0.901284691500824</v>
      </c>
      <c r="I481" s="2" t="n">
        <f aca="false">IF(G481="","",D481*1000000/Inputs!$B$4^2*Inputs!$B$5/G481)</f>
        <v>0.715103801848722</v>
      </c>
      <c r="J481" s="2" t="n">
        <f aca="false">IF(C481="A",Inputs!$B$7,IF(C481="B",Inputs!$B$8,IF(C481="C",Inputs!$B$9,0)))</f>
        <v>1</v>
      </c>
      <c r="K481" s="2" t="n">
        <f aca="false">IF(AND(E481&lt;&gt;"",G481&lt;&gt;"",J481&gt;0),IF(I481&gt;=Inputs!$B$6,1,0),0)</f>
        <v>0</v>
      </c>
      <c r="L481" s="5" t="n">
        <v>0</v>
      </c>
      <c r="M481" s="5" t="n">
        <v>177.4907</v>
      </c>
      <c r="N481" s="5" t="n">
        <v>0.9</v>
      </c>
      <c r="O481" s="4" t="s">
        <v>64</v>
      </c>
      <c r="P481" s="2" t="n">
        <f aca="false">IF(K481=1,J481/G481^2,0)</f>
        <v>0</v>
      </c>
      <c r="Q481" s="2" t="n">
        <f aca="false">IF(K481=1,((E481-Result!$B$7*D481)/G481)^2,0)</f>
        <v>0</v>
      </c>
    </row>
    <row r="482" customFormat="false" ht="15" hidden="false" customHeight="false" outlineLevel="0" collapsed="false">
      <c r="A482" s="4" t="s">
        <v>37</v>
      </c>
      <c r="B482" s="4" t="s">
        <v>548</v>
      </c>
      <c r="C482" s="4" t="s">
        <v>63</v>
      </c>
      <c r="D482" s="5" t="n">
        <v>169.2362</v>
      </c>
      <c r="E482" s="5" t="n">
        <v>1.44</v>
      </c>
      <c r="F482" s="5" t="n">
        <v>0.0050779101118753</v>
      </c>
      <c r="G482" s="5" t="n">
        <v>1.2613</v>
      </c>
      <c r="H482" s="2" t="n">
        <f aca="false">D482*F482</f>
        <v>0.859366211275351</v>
      </c>
      <c r="I482" s="2" t="n">
        <f aca="false">IF(G482="","",D482*1000000/Inputs!$B$4^2*Inputs!$B$5/G482)</f>
        <v>0.681843637754093</v>
      </c>
      <c r="J482" s="2" t="n">
        <f aca="false">IF(C482="A",Inputs!$B$7,IF(C482="B",Inputs!$B$8,IF(C482="C",Inputs!$B$9,0)))</f>
        <v>1</v>
      </c>
      <c r="K482" s="2" t="n">
        <f aca="false">IF(AND(E482&lt;&gt;"",G482&lt;&gt;"",J482&gt;0),IF(I482&gt;=Inputs!$B$6,1,0),0)</f>
        <v>0</v>
      </c>
      <c r="L482" s="5" t="n">
        <v>1</v>
      </c>
      <c r="M482" s="5" t="n">
        <v>169.2354</v>
      </c>
      <c r="N482" s="5" t="n">
        <v>0.86</v>
      </c>
      <c r="O482" s="4" t="s">
        <v>64</v>
      </c>
      <c r="P482" s="2" t="n">
        <f aca="false">IF(K482=1,J482/G482^2,0)</f>
        <v>0</v>
      </c>
      <c r="Q482" s="2" t="n">
        <f aca="false">IF(K482=1,((E482-Result!$B$7*D482)/G482)^2,0)</f>
        <v>0</v>
      </c>
    </row>
    <row r="483" customFormat="false" ht="15" hidden="false" customHeight="false" outlineLevel="0" collapsed="false">
      <c r="A483" s="4" t="s">
        <v>37</v>
      </c>
      <c r="B483" s="4" t="s">
        <v>549</v>
      </c>
      <c r="C483" s="4" t="s">
        <v>63</v>
      </c>
      <c r="D483" s="5" t="n">
        <v>169.7502</v>
      </c>
      <c r="E483" s="5" t="n">
        <v>2.24</v>
      </c>
      <c r="F483" s="5" t="n">
        <v>0.00507783260211703</v>
      </c>
      <c r="G483" s="5" t="n">
        <v>1.2613</v>
      </c>
      <c r="H483" s="2" t="n">
        <f aca="false">D483*F483</f>
        <v>0.861963099775886</v>
      </c>
      <c r="I483" s="2" t="n">
        <f aca="false">IF(G483="","",D483*1000000/Inputs!$B$4^2*Inputs!$B$5/G483)</f>
        <v>0.68391451638293</v>
      </c>
      <c r="J483" s="2" t="n">
        <f aca="false">IF(C483="A",Inputs!$B$7,IF(C483="B",Inputs!$B$8,IF(C483="C",Inputs!$B$9,0)))</f>
        <v>1</v>
      </c>
      <c r="K483" s="2" t="n">
        <f aca="false">IF(AND(E483&lt;&gt;"",G483&lt;&gt;"",J483&gt;0),IF(I483&gt;=Inputs!$B$6,1,0),0)</f>
        <v>0</v>
      </c>
      <c r="L483" s="5" t="n">
        <v>0</v>
      </c>
      <c r="M483" s="5" t="n">
        <v>169.7492</v>
      </c>
      <c r="N483" s="5" t="n">
        <v>0.86</v>
      </c>
      <c r="O483" s="4" t="s">
        <v>64</v>
      </c>
      <c r="P483" s="2" t="n">
        <f aca="false">IF(K483=1,J483/G483^2,0)</f>
        <v>0</v>
      </c>
      <c r="Q483" s="2" t="n">
        <f aca="false">IF(K483=1,((E483-Result!$B$7*D483)/G483)^2,0)</f>
        <v>0</v>
      </c>
    </row>
    <row r="484" customFormat="false" ht="15" hidden="false" customHeight="false" outlineLevel="0" collapsed="false">
      <c r="A484" s="4" t="s">
        <v>37</v>
      </c>
      <c r="B484" s="4" t="s">
        <v>550</v>
      </c>
      <c r="C484" s="4" t="s">
        <v>63</v>
      </c>
      <c r="D484" s="5" t="n">
        <v>306.4586</v>
      </c>
      <c r="E484" s="5" t="n">
        <v>-0.13</v>
      </c>
      <c r="F484" s="5" t="n">
        <v>0.00507783888162222</v>
      </c>
      <c r="G484" s="5" t="n">
        <v>1.2613</v>
      </c>
      <c r="H484" s="2" t="n">
        <f aca="false">D484*F484</f>
        <v>1.55614739468751</v>
      </c>
      <c r="I484" s="2" t="n">
        <f aca="false">IF(G484="","",D484*1000000/Inputs!$B$4^2*Inputs!$B$5/G484)</f>
        <v>1.23470538008432</v>
      </c>
      <c r="J484" s="2" t="n">
        <f aca="false">IF(C484="A",Inputs!$B$7,IF(C484="B",Inputs!$B$8,IF(C484="C",Inputs!$B$9,0)))</f>
        <v>1</v>
      </c>
      <c r="K484" s="2" t="n">
        <f aca="false">IF(AND(E484&lt;&gt;"",G484&lt;&gt;"",J484&gt;0),IF(I484&gt;=Inputs!$B$6,1,0),0)</f>
        <v>0</v>
      </c>
      <c r="L484" s="5" t="n">
        <v>1</v>
      </c>
      <c r="M484" s="5" t="n">
        <v>306.4578</v>
      </c>
      <c r="N484" s="5" t="n">
        <v>1.56</v>
      </c>
      <c r="O484" s="4" t="s">
        <v>64</v>
      </c>
      <c r="P484" s="2" t="n">
        <f aca="false">IF(K484=1,J484/G484^2,0)</f>
        <v>0</v>
      </c>
      <c r="Q484" s="2" t="n">
        <f aca="false">IF(K484=1,((E484-Result!$B$7*D484)/G484)^2,0)</f>
        <v>0</v>
      </c>
    </row>
    <row r="485" customFormat="false" ht="15" hidden="false" customHeight="false" outlineLevel="0" collapsed="false">
      <c r="A485" s="4" t="s">
        <v>37</v>
      </c>
      <c r="B485" s="4" t="s">
        <v>551</v>
      </c>
      <c r="C485" s="4" t="s">
        <v>63</v>
      </c>
      <c r="D485" s="5" t="n">
        <v>425.3395</v>
      </c>
      <c r="E485" s="5" t="n">
        <v>2.74</v>
      </c>
      <c r="F485" s="5" t="n">
        <v>0.00507792073237512</v>
      </c>
      <c r="G485" s="5" t="n">
        <v>1.2613</v>
      </c>
      <c r="H485" s="2" t="n">
        <f aca="false">D485*F485</f>
        <v>2.15984026534807</v>
      </c>
      <c r="I485" s="2" t="n">
        <f aca="false">IF(G485="","",D485*1000000/Inputs!$B$4^2*Inputs!$B$5/G485)</f>
        <v>1.71367019562308</v>
      </c>
      <c r="J485" s="2" t="n">
        <f aca="false">IF(C485="A",Inputs!$B$7,IF(C485="B",Inputs!$B$8,IF(C485="C",Inputs!$B$9,0)))</f>
        <v>1</v>
      </c>
      <c r="K485" s="2" t="n">
        <f aca="false">IF(AND(E485&lt;&gt;"",G485&lt;&gt;"",J485&gt;0),IF(I485&gt;=Inputs!$B$6,1,0),0)</f>
        <v>0</v>
      </c>
      <c r="L485" s="5" t="n">
        <v>1</v>
      </c>
      <c r="M485" s="5" t="n">
        <v>425.3388</v>
      </c>
      <c r="N485" s="5" t="n">
        <v>2.16</v>
      </c>
      <c r="O485" s="4" t="s">
        <v>64</v>
      </c>
      <c r="P485" s="2" t="n">
        <f aca="false">IF(K485=1,J485/G485^2,0)</f>
        <v>0</v>
      </c>
      <c r="Q485" s="2" t="n">
        <f aca="false">IF(K485=1,((E485-Result!$B$7*D485)/G485)^2,0)</f>
        <v>0</v>
      </c>
    </row>
    <row r="486" customFormat="false" ht="15" hidden="false" customHeight="false" outlineLevel="0" collapsed="false">
      <c r="A486" s="4" t="s">
        <v>37</v>
      </c>
      <c r="B486" s="4" t="s">
        <v>552</v>
      </c>
      <c r="C486" s="4" t="s">
        <v>63</v>
      </c>
      <c r="D486" s="5" t="n">
        <v>245.1394</v>
      </c>
      <c r="E486" s="5" t="n">
        <v>0.86</v>
      </c>
      <c r="F486" s="5" t="n">
        <v>0.00507770531842931</v>
      </c>
      <c r="G486" s="5" t="n">
        <v>1.2613</v>
      </c>
      <c r="H486" s="2" t="n">
        <f aca="false">D486*F486</f>
        <v>1.24474563513657</v>
      </c>
      <c r="I486" s="2" t="n">
        <f aca="false">IF(G486="","",D486*1000000/Inputs!$B$4^2*Inputs!$B$5/G486)</f>
        <v>0.987653588610804</v>
      </c>
      <c r="J486" s="2" t="n">
        <f aca="false">IF(C486="A",Inputs!$B$7,IF(C486="B",Inputs!$B$8,IF(C486="C",Inputs!$B$9,0)))</f>
        <v>1</v>
      </c>
      <c r="K486" s="2" t="n">
        <f aca="false">IF(AND(E486&lt;&gt;"",G486&lt;&gt;"",J486&gt;0),IF(I486&gt;=Inputs!$B$6,1,0),0)</f>
        <v>0</v>
      </c>
      <c r="L486" s="5" t="n">
        <v>1</v>
      </c>
      <c r="M486" s="5" t="n">
        <v>245.1386</v>
      </c>
      <c r="N486" s="5" t="n">
        <v>1.25</v>
      </c>
      <c r="O486" s="4" t="s">
        <v>64</v>
      </c>
      <c r="P486" s="2" t="n">
        <f aca="false">IF(K486=1,J486/G486^2,0)</f>
        <v>0</v>
      </c>
      <c r="Q486" s="2" t="n">
        <f aca="false">IF(K486=1,((E486-Result!$B$7*D486)/G486)^2,0)</f>
        <v>0</v>
      </c>
    </row>
    <row r="487" customFormat="false" ht="15" hidden="false" customHeight="false" outlineLevel="0" collapsed="false">
      <c r="A487" s="4" t="s">
        <v>37</v>
      </c>
      <c r="B487" s="4" t="s">
        <v>553</v>
      </c>
      <c r="C487" s="4" t="s">
        <v>63</v>
      </c>
      <c r="D487" s="5" t="n">
        <v>134.1698</v>
      </c>
      <c r="E487" s="5" t="n">
        <v>1.11</v>
      </c>
      <c r="F487" s="5" t="n">
        <v>0.00507767600960123</v>
      </c>
      <c r="G487" s="5" t="n">
        <v>1.2613</v>
      </c>
      <c r="H487" s="2" t="n">
        <f aca="false">D487*F487</f>
        <v>0.681270774672996</v>
      </c>
      <c r="I487" s="2" t="n">
        <f aca="false">IF(G487="","",D487*1000000/Inputs!$B$4^2*Inputs!$B$5/G487)</f>
        <v>0.540562979485117</v>
      </c>
      <c r="J487" s="2" t="n">
        <f aca="false">IF(C487="A",Inputs!$B$7,IF(C487="B",Inputs!$B$8,IF(C487="C",Inputs!$B$9,0)))</f>
        <v>1</v>
      </c>
      <c r="K487" s="2" t="n">
        <f aca="false">IF(AND(E487&lt;&gt;"",G487&lt;&gt;"",J487&gt;0),IF(I487&gt;=Inputs!$B$6,1,0),0)</f>
        <v>0</v>
      </c>
      <c r="L487" s="5" t="n">
        <v>1</v>
      </c>
      <c r="M487" s="5" t="n">
        <v>134.169</v>
      </c>
      <c r="N487" s="5" t="n">
        <v>0.68</v>
      </c>
      <c r="O487" s="4" t="s">
        <v>64</v>
      </c>
      <c r="P487" s="2" t="n">
        <f aca="false">IF(K487=1,J487/G487^2,0)</f>
        <v>0</v>
      </c>
      <c r="Q487" s="2" t="n">
        <f aca="false">IF(K487=1,((E487-Result!$B$7*D487)/G487)^2,0)</f>
        <v>0</v>
      </c>
    </row>
    <row r="488" customFormat="false" ht="15" hidden="false" customHeight="false" outlineLevel="0" collapsed="false">
      <c r="A488" s="4" t="s">
        <v>37</v>
      </c>
      <c r="B488" s="4" t="s">
        <v>554</v>
      </c>
      <c r="C488" s="4" t="s">
        <v>63</v>
      </c>
      <c r="D488" s="5" t="n">
        <v>184.6488</v>
      </c>
      <c r="E488" s="5" t="n">
        <v>-0.44</v>
      </c>
      <c r="F488" s="5" t="n">
        <v>0.00507789083212085</v>
      </c>
      <c r="G488" s="5" t="n">
        <v>1.2613</v>
      </c>
      <c r="H488" s="2" t="n">
        <f aca="false">D488*F488</f>
        <v>0.937626448682116</v>
      </c>
      <c r="I488" s="2" t="n">
        <f aca="false">IF(G488="","",D488*1000000/Inputs!$B$4^2*Inputs!$B$5/G488)</f>
        <v>0.743940182413266</v>
      </c>
      <c r="J488" s="2" t="n">
        <f aca="false">IF(C488="A",Inputs!$B$7,IF(C488="B",Inputs!$B$8,IF(C488="C",Inputs!$B$9,0)))</f>
        <v>1</v>
      </c>
      <c r="K488" s="2" t="n">
        <f aca="false">IF(AND(E488&lt;&gt;"",G488&lt;&gt;"",J488&gt;0),IF(I488&gt;=Inputs!$B$6,1,0),0)</f>
        <v>0</v>
      </c>
      <c r="L488" s="5" t="n">
        <v>0</v>
      </c>
      <c r="M488" s="5" t="n">
        <v>184.6481</v>
      </c>
      <c r="N488" s="5" t="n">
        <v>0.94</v>
      </c>
      <c r="O488" s="4" t="s">
        <v>64</v>
      </c>
      <c r="P488" s="2" t="n">
        <f aca="false">IF(K488=1,J488/G488^2,0)</f>
        <v>0</v>
      </c>
      <c r="Q488" s="2" t="n">
        <f aca="false">IF(K488=1,((E488-Result!$B$7*D488)/G488)^2,0)</f>
        <v>0</v>
      </c>
    </row>
    <row r="489" customFormat="false" ht="15" hidden="false" customHeight="false" outlineLevel="0" collapsed="false">
      <c r="A489" s="4" t="s">
        <v>37</v>
      </c>
      <c r="B489" s="4" t="s">
        <v>555</v>
      </c>
      <c r="C489" s="4" t="s">
        <v>63</v>
      </c>
      <c r="D489" s="5" t="n">
        <v>220.3206</v>
      </c>
      <c r="E489" s="5" t="n">
        <v>1.74</v>
      </c>
      <c r="F489" s="5" t="n">
        <v>0.00507781754944537</v>
      </c>
      <c r="G489" s="5" t="n">
        <v>1.2613</v>
      </c>
      <c r="H489" s="2" t="n">
        <f aca="false">D489*F489</f>
        <v>1.11874780918433</v>
      </c>
      <c r="I489" s="2" t="n">
        <f aca="false">IF(G489="","",D489*1000000/Inputs!$B$4^2*Inputs!$B$5/G489)</f>
        <v>0.887659965043912</v>
      </c>
      <c r="J489" s="2" t="n">
        <f aca="false">IF(C489="A",Inputs!$B$7,IF(C489="B",Inputs!$B$8,IF(C489="C",Inputs!$B$9,0)))</f>
        <v>1</v>
      </c>
      <c r="K489" s="2" t="n">
        <f aca="false">IF(AND(E489&lt;&gt;"",G489&lt;&gt;"",J489&gt;0),IF(I489&gt;=Inputs!$B$6,1,0),0)</f>
        <v>0</v>
      </c>
      <c r="L489" s="5" t="n">
        <v>1</v>
      </c>
      <c r="M489" s="5" t="n">
        <v>220.3197</v>
      </c>
      <c r="N489" s="5" t="n">
        <v>1.12</v>
      </c>
      <c r="O489" s="4" t="s">
        <v>64</v>
      </c>
      <c r="P489" s="2" t="n">
        <f aca="false">IF(K489=1,J489/G489^2,0)</f>
        <v>0</v>
      </c>
      <c r="Q489" s="2" t="n">
        <f aca="false">IF(K489=1,((E489-Result!$B$7*D489)/G489)^2,0)</f>
        <v>0</v>
      </c>
    </row>
    <row r="490" customFormat="false" ht="15" hidden="false" customHeight="false" outlineLevel="0" collapsed="false">
      <c r="A490" s="4" t="s">
        <v>37</v>
      </c>
      <c r="B490" s="4" t="s">
        <v>556</v>
      </c>
      <c r="C490" s="4" t="s">
        <v>63</v>
      </c>
      <c r="D490" s="5" t="n">
        <v>183.5899</v>
      </c>
      <c r="E490" s="5" t="n">
        <v>1.72</v>
      </c>
      <c r="F490" s="5" t="n">
        <v>0.00507777967608809</v>
      </c>
      <c r="G490" s="5" t="n">
        <v>1.2613</v>
      </c>
      <c r="H490" s="2" t="n">
        <f aca="false">D490*F490</f>
        <v>0.932229062955045</v>
      </c>
      <c r="I490" s="2" t="n">
        <f aca="false">IF(G490="","",D490*1000000/Inputs!$B$4^2*Inputs!$B$5/G490)</f>
        <v>0.739673930701057</v>
      </c>
      <c r="J490" s="2" t="n">
        <f aca="false">IF(C490="A",Inputs!$B$7,IF(C490="B",Inputs!$B$8,IF(C490="C",Inputs!$B$9,0)))</f>
        <v>1</v>
      </c>
      <c r="K490" s="2" t="n">
        <f aca="false">IF(AND(E490&lt;&gt;"",G490&lt;&gt;"",J490&gt;0),IF(I490&gt;=Inputs!$B$6,1,0),0)</f>
        <v>0</v>
      </c>
      <c r="L490" s="5" t="n">
        <v>0</v>
      </c>
      <c r="M490" s="5" t="n">
        <v>183.5891</v>
      </c>
      <c r="N490" s="5" t="n">
        <v>0.93</v>
      </c>
      <c r="O490" s="4" t="s">
        <v>64</v>
      </c>
      <c r="P490" s="2" t="n">
        <f aca="false">IF(K490=1,J490/G490^2,0)</f>
        <v>0</v>
      </c>
      <c r="Q490" s="2" t="n">
        <f aca="false">IF(K490=1,((E490-Result!$B$7*D490)/G490)^2,0)</f>
        <v>0</v>
      </c>
    </row>
    <row r="491" customFormat="false" ht="15" hidden="false" customHeight="false" outlineLevel="0" collapsed="false">
      <c r="A491" s="4" t="s">
        <v>37</v>
      </c>
      <c r="B491" s="4" t="s">
        <v>557</v>
      </c>
      <c r="C491" s="4" t="s">
        <v>63</v>
      </c>
      <c r="D491" s="5" t="n">
        <v>147.9178</v>
      </c>
      <c r="E491" s="5" t="n">
        <v>-0.46</v>
      </c>
      <c r="F491" s="5" t="n">
        <v>0.00507786199346558</v>
      </c>
      <c r="G491" s="5" t="n">
        <v>1.2613</v>
      </c>
      <c r="H491" s="2" t="n">
        <f aca="false">D491*F491</f>
        <v>0.751106174777043</v>
      </c>
      <c r="I491" s="2" t="n">
        <f aca="false">IF(G491="","",D491*1000000/Inputs!$B$4^2*Inputs!$B$5/G491)</f>
        <v>0.595952939386387</v>
      </c>
      <c r="J491" s="2" t="n">
        <f aca="false">IF(C491="A",Inputs!$B$7,IF(C491="B",Inputs!$B$8,IF(C491="C",Inputs!$B$9,0)))</f>
        <v>1</v>
      </c>
      <c r="K491" s="2" t="n">
        <f aca="false">IF(AND(E491&lt;&gt;"",G491&lt;&gt;"",J491&gt;0),IF(I491&gt;=Inputs!$B$6,1,0),0)</f>
        <v>0</v>
      </c>
      <c r="L491" s="5" t="n">
        <v>1</v>
      </c>
      <c r="M491" s="5" t="n">
        <v>147.9174</v>
      </c>
      <c r="N491" s="5" t="n">
        <v>0.75</v>
      </c>
      <c r="O491" s="4" t="s">
        <v>64</v>
      </c>
      <c r="P491" s="2" t="n">
        <f aca="false">IF(K491=1,J491/G491^2,0)</f>
        <v>0</v>
      </c>
      <c r="Q491" s="2" t="n">
        <f aca="false">IF(K491=1,((E491-Result!$B$7*D491)/G491)^2,0)</f>
        <v>0</v>
      </c>
    </row>
    <row r="492" customFormat="false" ht="15" hidden="false" customHeight="false" outlineLevel="0" collapsed="false">
      <c r="A492" s="4" t="s">
        <v>37</v>
      </c>
      <c r="B492" s="4" t="s">
        <v>558</v>
      </c>
      <c r="C492" s="4" t="s">
        <v>63</v>
      </c>
      <c r="D492" s="5" t="n">
        <v>151.0656</v>
      </c>
      <c r="E492" s="5" t="n">
        <v>1.17</v>
      </c>
      <c r="F492" s="5" t="n">
        <v>0.00507773030059549</v>
      </c>
      <c r="G492" s="5" t="n">
        <v>1.2613</v>
      </c>
      <c r="H492" s="2" t="n">
        <f aca="false">D492*F492</f>
        <v>0.767070374497638</v>
      </c>
      <c r="I492" s="2" t="n">
        <f aca="false">IF(G492="","",D492*1000000/Inputs!$B$4^2*Inputs!$B$5/G492)</f>
        <v>0.608635257961977</v>
      </c>
      <c r="J492" s="2" t="n">
        <f aca="false">IF(C492="A",Inputs!$B$7,IF(C492="B",Inputs!$B$8,IF(C492="C",Inputs!$B$9,0)))</f>
        <v>1</v>
      </c>
      <c r="K492" s="2" t="n">
        <f aca="false">IF(AND(E492&lt;&gt;"",G492&lt;&gt;"",J492&gt;0),IF(I492&gt;=Inputs!$B$6,1,0),0)</f>
        <v>0</v>
      </c>
      <c r="L492" s="5" t="n">
        <v>1</v>
      </c>
      <c r="M492" s="5" t="n">
        <v>151.0651</v>
      </c>
      <c r="N492" s="5" t="n">
        <v>0.77</v>
      </c>
      <c r="O492" s="4" t="s">
        <v>64</v>
      </c>
      <c r="P492" s="2" t="n">
        <f aca="false">IF(K492=1,J492/G492^2,0)</f>
        <v>0</v>
      </c>
      <c r="Q492" s="2" t="n">
        <f aca="false">IF(K492=1,((E492-Result!$B$7*D492)/G492)^2,0)</f>
        <v>0</v>
      </c>
    </row>
    <row r="493" customFormat="false" ht="15" hidden="false" customHeight="false" outlineLevel="0" collapsed="false">
      <c r="A493" s="4" t="s">
        <v>37</v>
      </c>
      <c r="B493" s="4" t="s">
        <v>559</v>
      </c>
      <c r="C493" s="4" t="s">
        <v>63</v>
      </c>
      <c r="D493" s="5" t="n">
        <v>104.0347</v>
      </c>
      <c r="E493" s="5" t="n">
        <v>-0.13</v>
      </c>
      <c r="F493" s="5" t="n">
        <v>0.00507762660085883</v>
      </c>
      <c r="G493" s="5" t="n">
        <v>1.2613</v>
      </c>
      <c r="H493" s="2" t="n">
        <f aca="false">D493*F493</f>
        <v>0.528249360132368</v>
      </c>
      <c r="I493" s="2" t="n">
        <f aca="false">IF(G493="","",D493*1000000/Inputs!$B$4^2*Inputs!$B$5/G493)</f>
        <v>0.419150266318056</v>
      </c>
      <c r="J493" s="2" t="n">
        <f aca="false">IF(C493="A",Inputs!$B$7,IF(C493="B",Inputs!$B$8,IF(C493="C",Inputs!$B$9,0)))</f>
        <v>1</v>
      </c>
      <c r="K493" s="2" t="n">
        <f aca="false">IF(AND(E493&lt;&gt;"",G493&lt;&gt;"",J493&gt;0),IF(I493&gt;=Inputs!$B$6,1,0),0)</f>
        <v>0</v>
      </c>
      <c r="L493" s="5" t="n">
        <v>1</v>
      </c>
      <c r="M493" s="5" t="n">
        <v>104.0341</v>
      </c>
      <c r="N493" s="5" t="n">
        <v>0.53</v>
      </c>
      <c r="O493" s="4" t="s">
        <v>64</v>
      </c>
      <c r="P493" s="2" t="n">
        <f aca="false">IF(K493=1,J493/G493^2,0)</f>
        <v>0</v>
      </c>
      <c r="Q493" s="2" t="n">
        <f aca="false">IF(K493=1,((E493-Result!$B$7*D493)/G493)^2,0)</f>
        <v>0</v>
      </c>
    </row>
    <row r="494" customFormat="false" ht="15" hidden="false" customHeight="false" outlineLevel="0" collapsed="false">
      <c r="A494" s="4" t="s">
        <v>37</v>
      </c>
      <c r="B494" s="4" t="s">
        <v>560</v>
      </c>
      <c r="C494" s="4" t="s">
        <v>63</v>
      </c>
      <c r="D494" s="5" t="n">
        <v>220.2799</v>
      </c>
      <c r="E494" s="5" t="n">
        <v>-0.61</v>
      </c>
      <c r="F494" s="5" t="n">
        <v>0.00507773582517741</v>
      </c>
      <c r="G494" s="5" t="n">
        <v>1.2613</v>
      </c>
      <c r="H494" s="2" t="n">
        <f aca="false">D494*F494</f>
        <v>1.1185231397965</v>
      </c>
      <c r="I494" s="2" t="n">
        <f aca="false">IF(G494="","",D494*1000000/Inputs!$B$4^2*Inputs!$B$5/G494)</f>
        <v>0.887495986911239</v>
      </c>
      <c r="J494" s="2" t="n">
        <f aca="false">IF(C494="A",Inputs!$B$7,IF(C494="B",Inputs!$B$8,IF(C494="C",Inputs!$B$9,0)))</f>
        <v>1</v>
      </c>
      <c r="K494" s="2" t="n">
        <f aca="false">IF(AND(E494&lt;&gt;"",G494&lt;&gt;"",J494&gt;0),IF(I494&gt;=Inputs!$B$6,1,0),0)</f>
        <v>0</v>
      </c>
      <c r="L494" s="5" t="n">
        <v>1</v>
      </c>
      <c r="M494" s="5" t="n">
        <v>220.2792</v>
      </c>
      <c r="N494" s="5" t="n">
        <v>1.12</v>
      </c>
      <c r="O494" s="4" t="s">
        <v>64</v>
      </c>
      <c r="P494" s="2" t="n">
        <f aca="false">IF(K494=1,J494/G494^2,0)</f>
        <v>0</v>
      </c>
      <c r="Q494" s="2" t="n">
        <f aca="false">IF(K494=1,((E494-Result!$B$7*D494)/G494)^2,0)</f>
        <v>0</v>
      </c>
    </row>
    <row r="495" customFormat="false" ht="15" hidden="false" customHeight="false" outlineLevel="0" collapsed="false">
      <c r="A495" s="4" t="s">
        <v>37</v>
      </c>
      <c r="B495" s="4" t="s">
        <v>561</v>
      </c>
      <c r="C495" s="4" t="s">
        <v>63</v>
      </c>
      <c r="D495" s="5" t="n">
        <v>170.565</v>
      </c>
      <c r="E495" s="5" t="n">
        <v>-1.37</v>
      </c>
      <c r="F495" s="5" t="n">
        <v>0.00507760246273509</v>
      </c>
      <c r="G495" s="5" t="n">
        <v>1.2613</v>
      </c>
      <c r="H495" s="2" t="n">
        <f aca="false">D495*F495</f>
        <v>0.866061264056411</v>
      </c>
      <c r="I495" s="2" t="n">
        <f aca="false">IF(G495="","",D495*1000000/Inputs!$B$4^2*Inputs!$B$5/G495)</f>
        <v>0.68719730219378</v>
      </c>
      <c r="J495" s="2" t="n">
        <f aca="false">IF(C495="A",Inputs!$B$7,IF(C495="B",Inputs!$B$8,IF(C495="C",Inputs!$B$9,0)))</f>
        <v>1</v>
      </c>
      <c r="K495" s="2" t="n">
        <f aca="false">IF(AND(E495&lt;&gt;"",G495&lt;&gt;"",J495&gt;0),IF(I495&gt;=Inputs!$B$6,1,0),0)</f>
        <v>0</v>
      </c>
      <c r="L495" s="5" t="n">
        <v>1</v>
      </c>
      <c r="M495" s="5" t="n">
        <v>170.5642</v>
      </c>
      <c r="N495" s="5" t="n">
        <v>0.87</v>
      </c>
      <c r="O495" s="4" t="s">
        <v>64</v>
      </c>
      <c r="P495" s="2" t="n">
        <f aca="false">IF(K495=1,J495/G495^2,0)</f>
        <v>0</v>
      </c>
      <c r="Q495" s="2" t="n">
        <f aca="false">IF(K495=1,((E495-Result!$B$7*D495)/G495)^2,0)</f>
        <v>0</v>
      </c>
    </row>
    <row r="496" customFormat="false" ht="15" hidden="false" customHeight="false" outlineLevel="0" collapsed="false">
      <c r="A496" s="4" t="s">
        <v>37</v>
      </c>
      <c r="B496" s="4" t="s">
        <v>562</v>
      </c>
      <c r="C496" s="4" t="s">
        <v>63</v>
      </c>
      <c r="D496" s="5" t="n">
        <v>203.4597</v>
      </c>
      <c r="E496" s="5" t="n">
        <v>2.37</v>
      </c>
      <c r="F496" s="5" t="n">
        <v>0.00507779309239357</v>
      </c>
      <c r="G496" s="5" t="n">
        <v>1.2613</v>
      </c>
      <c r="H496" s="2" t="n">
        <f aca="false">D496*F496</f>
        <v>1.03312625924047</v>
      </c>
      <c r="I496" s="2" t="n">
        <f aca="false">IF(G496="","",D496*1000000/Inputs!$B$4^2*Inputs!$B$5/G496)</f>
        <v>0.819728296808582</v>
      </c>
      <c r="J496" s="2" t="n">
        <f aca="false">IF(C496="A",Inputs!$B$7,IF(C496="B",Inputs!$B$8,IF(C496="C",Inputs!$B$9,0)))</f>
        <v>1</v>
      </c>
      <c r="K496" s="2" t="n">
        <f aca="false">IF(AND(E496&lt;&gt;"",G496&lt;&gt;"",J496&gt;0),IF(I496&gt;=Inputs!$B$6,1,0),0)</f>
        <v>0</v>
      </c>
      <c r="L496" s="5" t="n">
        <v>1</v>
      </c>
      <c r="M496" s="5" t="n">
        <v>203.459</v>
      </c>
      <c r="N496" s="5" t="n">
        <v>1.03</v>
      </c>
      <c r="O496" s="4" t="s">
        <v>64</v>
      </c>
      <c r="P496" s="2" t="n">
        <f aca="false">IF(K496=1,J496/G496^2,0)</f>
        <v>0</v>
      </c>
      <c r="Q496" s="2" t="n">
        <f aca="false">IF(K496=1,((E496-Result!$B$7*D496)/G496)^2,0)</f>
        <v>0</v>
      </c>
    </row>
    <row r="497" customFormat="false" ht="15" hidden="false" customHeight="false" outlineLevel="0" collapsed="false">
      <c r="A497" s="4" t="s">
        <v>37</v>
      </c>
      <c r="B497" s="4" t="s">
        <v>563</v>
      </c>
      <c r="C497" s="4" t="s">
        <v>63</v>
      </c>
      <c r="D497" s="5" t="n">
        <v>145.9301</v>
      </c>
      <c r="E497" s="5" t="n">
        <v>0.65</v>
      </c>
      <c r="F497" s="5" t="n">
        <v>0.00507765977950958</v>
      </c>
      <c r="G497" s="5" t="n">
        <v>1.2613</v>
      </c>
      <c r="H497" s="2" t="n">
        <f aca="false">D497*F497</f>
        <v>0.740983399389811</v>
      </c>
      <c r="I497" s="2" t="n">
        <f aca="false">IF(G497="","",D497*1000000/Inputs!$B$4^2*Inputs!$B$5/G497)</f>
        <v>0.587944601933975</v>
      </c>
      <c r="J497" s="2" t="n">
        <f aca="false">IF(C497="A",Inputs!$B$7,IF(C497="B",Inputs!$B$8,IF(C497="C",Inputs!$B$9,0)))</f>
        <v>1</v>
      </c>
      <c r="K497" s="2" t="n">
        <f aca="false">IF(AND(E497&lt;&gt;"",G497&lt;&gt;"",J497&gt;0),IF(I497&gt;=Inputs!$B$6,1,0),0)</f>
        <v>0</v>
      </c>
      <c r="L497" s="5" t="n">
        <v>1</v>
      </c>
      <c r="M497" s="5" t="n">
        <v>145.9294</v>
      </c>
      <c r="N497" s="5" t="n">
        <v>0.74</v>
      </c>
      <c r="O497" s="4" t="s">
        <v>64</v>
      </c>
      <c r="P497" s="2" t="n">
        <f aca="false">IF(K497=1,J497/G497^2,0)</f>
        <v>0</v>
      </c>
      <c r="Q497" s="2" t="n">
        <f aca="false">IF(K497=1,((E497-Result!$B$7*D497)/G497)^2,0)</f>
        <v>0</v>
      </c>
    </row>
    <row r="498" customFormat="false" ht="15" hidden="false" customHeight="false" outlineLevel="0" collapsed="false">
      <c r="A498" s="4" t="s">
        <v>37</v>
      </c>
      <c r="B498" s="4" t="s">
        <v>564</v>
      </c>
      <c r="C498" s="4" t="s">
        <v>63</v>
      </c>
      <c r="D498" s="5" t="n">
        <v>258.5751</v>
      </c>
      <c r="E498" s="5" t="n">
        <v>2.47</v>
      </c>
      <c r="F498" s="5" t="n">
        <v>0.00507765219195127</v>
      </c>
      <c r="G498" s="5" t="n">
        <v>1.2613</v>
      </c>
      <c r="H498" s="2" t="n">
        <f aca="false">D498*F498</f>
        <v>1.31295442329902</v>
      </c>
      <c r="I498" s="2" t="n">
        <f aca="false">IF(G498="","",D498*1000000/Inputs!$B$4^2*Inputs!$B$5/G498)</f>
        <v>1.04178530844245</v>
      </c>
      <c r="J498" s="2" t="n">
        <f aca="false">IF(C498="A",Inputs!$B$7,IF(C498="B",Inputs!$B$8,IF(C498="C",Inputs!$B$9,0)))</f>
        <v>1</v>
      </c>
      <c r="K498" s="2" t="n">
        <f aca="false">IF(AND(E498&lt;&gt;"",G498&lt;&gt;"",J498&gt;0),IF(I498&gt;=Inputs!$B$6,1,0),0)</f>
        <v>0</v>
      </c>
      <c r="L498" s="5" t="n">
        <v>1</v>
      </c>
      <c r="M498" s="5" t="n">
        <v>258.574</v>
      </c>
      <c r="N498" s="5" t="n">
        <v>1.31</v>
      </c>
      <c r="O498" s="4" t="s">
        <v>64</v>
      </c>
      <c r="P498" s="2" t="n">
        <f aca="false">IF(K498=1,J498/G498^2,0)</f>
        <v>0</v>
      </c>
      <c r="Q498" s="2" t="n">
        <f aca="false">IF(K498=1,((E498-Result!$B$7*D498)/G498)^2,0)</f>
        <v>0</v>
      </c>
    </row>
    <row r="499" customFormat="false" ht="15" hidden="false" customHeight="false" outlineLevel="0" collapsed="false">
      <c r="A499" s="4" t="s">
        <v>37</v>
      </c>
      <c r="B499" s="4" t="s">
        <v>565</v>
      </c>
      <c r="C499" s="4" t="s">
        <v>63</v>
      </c>
      <c r="D499" s="5" t="n">
        <v>294.6718</v>
      </c>
      <c r="E499" s="5" t="n">
        <v>1.06</v>
      </c>
      <c r="F499" s="5" t="n">
        <v>0.00507753495377753</v>
      </c>
      <c r="G499" s="5" t="n">
        <v>1.2613</v>
      </c>
      <c r="H499" s="2" t="n">
        <f aca="false">D499*F499</f>
        <v>1.49620636439254</v>
      </c>
      <c r="I499" s="2" t="n">
        <f aca="false">IF(G499="","",D499*1000000/Inputs!$B$4^2*Inputs!$B$5/G499)</f>
        <v>1.18721699054662</v>
      </c>
      <c r="J499" s="2" t="n">
        <f aca="false">IF(C499="A",Inputs!$B$7,IF(C499="B",Inputs!$B$8,IF(C499="C",Inputs!$B$9,0)))</f>
        <v>1</v>
      </c>
      <c r="K499" s="2" t="n">
        <f aca="false">IF(AND(E499&lt;&gt;"",G499&lt;&gt;"",J499&gt;0),IF(I499&gt;=Inputs!$B$6,1,0),0)</f>
        <v>0</v>
      </c>
      <c r="L499" s="5" t="n">
        <v>1</v>
      </c>
      <c r="M499" s="5" t="n">
        <v>294.6707</v>
      </c>
      <c r="N499" s="5" t="n">
        <v>1.5</v>
      </c>
      <c r="O499" s="4" t="s">
        <v>64</v>
      </c>
      <c r="P499" s="2" t="n">
        <f aca="false">IF(K499=1,J499/G499^2,0)</f>
        <v>0</v>
      </c>
      <c r="Q499" s="2" t="n">
        <f aca="false">IF(K499=1,((E499-Result!$B$7*D499)/G499)^2,0)</f>
        <v>0</v>
      </c>
    </row>
    <row r="500" customFormat="false" ht="15" hidden="false" customHeight="false" outlineLevel="0" collapsed="false">
      <c r="A500" s="4" t="s">
        <v>37</v>
      </c>
      <c r="B500" s="4" t="s">
        <v>566</v>
      </c>
      <c r="C500" s="4" t="s">
        <v>63</v>
      </c>
      <c r="D500" s="5" t="n">
        <v>149.542</v>
      </c>
      <c r="E500" s="5" t="n">
        <v>0.21</v>
      </c>
      <c r="F500" s="5" t="n">
        <v>0.00507773671064883</v>
      </c>
      <c r="G500" s="5" t="n">
        <v>1.2613</v>
      </c>
      <c r="H500" s="2" t="n">
        <f aca="false">D500*F500</f>
        <v>0.759334903183847</v>
      </c>
      <c r="I500" s="2" t="n">
        <f aca="false">IF(G500="","",D500*1000000/Inputs!$B$4^2*Inputs!$B$5/G500)</f>
        <v>0.602496754695642</v>
      </c>
      <c r="J500" s="2" t="n">
        <f aca="false">IF(C500="A",Inputs!$B$7,IF(C500="B",Inputs!$B$8,IF(C500="C",Inputs!$B$9,0)))</f>
        <v>1</v>
      </c>
      <c r="K500" s="2" t="n">
        <f aca="false">IF(AND(E500&lt;&gt;"",G500&lt;&gt;"",J500&gt;0),IF(I500&gt;=Inputs!$B$6,1,0),0)</f>
        <v>0</v>
      </c>
      <c r="L500" s="5" t="n">
        <v>1</v>
      </c>
      <c r="M500" s="5" t="n">
        <v>149.5416</v>
      </c>
      <c r="N500" s="5" t="n">
        <v>0.76</v>
      </c>
      <c r="O500" s="4" t="s">
        <v>64</v>
      </c>
      <c r="P500" s="2" t="n">
        <f aca="false">IF(K500=1,J500/G500^2,0)</f>
        <v>0</v>
      </c>
      <c r="Q500" s="2" t="n">
        <f aca="false">IF(K500=1,((E500-Result!$B$7*D500)/G500)^2,0)</f>
        <v>0</v>
      </c>
    </row>
    <row r="501" customFormat="false" ht="15" hidden="false" customHeight="false" outlineLevel="0" collapsed="false">
      <c r="A501" s="4" t="s">
        <v>37</v>
      </c>
      <c r="B501" s="4" t="s">
        <v>567</v>
      </c>
      <c r="C501" s="4" t="s">
        <v>63</v>
      </c>
      <c r="D501" s="5" t="n">
        <v>197.9185</v>
      </c>
      <c r="E501" s="5" t="n">
        <v>2.5</v>
      </c>
      <c r="F501" s="5" t="n">
        <v>0.00507761953615817</v>
      </c>
      <c r="G501" s="5" t="n">
        <v>1.2613</v>
      </c>
      <c r="H501" s="2" t="n">
        <f aca="false">D501*F501</f>
        <v>1.00495484216712</v>
      </c>
      <c r="I501" s="2" t="n">
        <f aca="false">IF(G501="","",D501*1000000/Inputs!$B$4^2*Inputs!$B$5/G501)</f>
        <v>0.797403097084628</v>
      </c>
      <c r="J501" s="2" t="n">
        <f aca="false">IF(C501="A",Inputs!$B$7,IF(C501="B",Inputs!$B$8,IF(C501="C",Inputs!$B$9,0)))</f>
        <v>1</v>
      </c>
      <c r="K501" s="2" t="n">
        <f aca="false">IF(AND(E501&lt;&gt;"",G501&lt;&gt;"",J501&gt;0),IF(I501&gt;=Inputs!$B$6,1,0),0)</f>
        <v>0</v>
      </c>
      <c r="L501" s="5" t="n">
        <v>1</v>
      </c>
      <c r="M501" s="5" t="n">
        <v>197.9177</v>
      </c>
      <c r="N501" s="5" t="n">
        <v>1.01</v>
      </c>
      <c r="O501" s="4" t="s">
        <v>64</v>
      </c>
      <c r="P501" s="2" t="n">
        <f aca="false">IF(K501=1,J501/G501^2,0)</f>
        <v>0</v>
      </c>
      <c r="Q501" s="2" t="n">
        <f aca="false">IF(K501=1,((E501-Result!$B$7*D501)/G501)^2,0)</f>
        <v>0</v>
      </c>
    </row>
    <row r="502" customFormat="false" ht="15" hidden="false" customHeight="false" outlineLevel="0" collapsed="false">
      <c r="A502" s="4" t="s">
        <v>37</v>
      </c>
      <c r="B502" s="4" t="s">
        <v>568</v>
      </c>
      <c r="C502" s="4" t="s">
        <v>63</v>
      </c>
      <c r="D502" s="5" t="n">
        <v>499.7107</v>
      </c>
      <c r="E502" s="5" t="n">
        <v>0.17</v>
      </c>
      <c r="F502" s="5" t="n">
        <v>0.00507756033211261</v>
      </c>
      <c r="G502" s="5" t="n">
        <v>1.2613</v>
      </c>
      <c r="H502" s="2" t="n">
        <f aca="false">D502*F502</f>
        <v>2.53731122785223</v>
      </c>
      <c r="I502" s="2" t="n">
        <f aca="false">IF(G502="","",D502*1000000/Inputs!$B$4^2*Inputs!$B$5/G502)</f>
        <v>2.01330780006077</v>
      </c>
      <c r="J502" s="2" t="n">
        <f aca="false">IF(C502="A",Inputs!$B$7,IF(C502="B",Inputs!$B$8,IF(C502="C",Inputs!$B$9,0)))</f>
        <v>1</v>
      </c>
      <c r="K502" s="2" t="n">
        <f aca="false">IF(AND(E502&lt;&gt;"",G502&lt;&gt;"",J502&gt;0),IF(I502&gt;=Inputs!$B$6,1,0),0)</f>
        <v>1</v>
      </c>
      <c r="L502" s="5" t="n">
        <v>1</v>
      </c>
      <c r="M502" s="5" t="n">
        <v>499.7094</v>
      </c>
      <c r="N502" s="5" t="n">
        <v>2.54</v>
      </c>
      <c r="O502" s="4" t="s">
        <v>64</v>
      </c>
      <c r="P502" s="2" t="n">
        <f aca="false">IF(K502=1,J502/G502^2,0)</f>
        <v>0.628583835379576</v>
      </c>
      <c r="Q502" s="2" t="n">
        <f aca="false">IF(K502=1,((E502-Result!$B$7*D502)/G502)^2,0)</f>
        <v>3.48723475126199</v>
      </c>
    </row>
    <row r="503" customFormat="false" ht="15" hidden="false" customHeight="false" outlineLevel="0" collapsed="false">
      <c r="A503" s="4" t="s">
        <v>37</v>
      </c>
      <c r="B503" s="4" t="s">
        <v>569</v>
      </c>
      <c r="C503" s="4" t="s">
        <v>63</v>
      </c>
      <c r="D503" s="5" t="n">
        <v>492.1089</v>
      </c>
      <c r="E503" s="5" t="n">
        <v>1.65</v>
      </c>
      <c r="F503" s="5" t="n">
        <v>0.00507764104794028</v>
      </c>
      <c r="G503" s="5" t="n">
        <v>1.2613</v>
      </c>
      <c r="H503" s="2" t="n">
        <f aca="false">D503*F503</f>
        <v>2.49875235069674</v>
      </c>
      <c r="I503" s="2" t="n">
        <f aca="false">IF(G503="","",D503*1000000/Inputs!$B$4^2*Inputs!$B$5/G503)</f>
        <v>1.98268055266642</v>
      </c>
      <c r="J503" s="2" t="n">
        <f aca="false">IF(C503="A",Inputs!$B$7,IF(C503="B",Inputs!$B$8,IF(C503="C",Inputs!$B$9,0)))</f>
        <v>1</v>
      </c>
      <c r="K503" s="2" t="n">
        <f aca="false">IF(AND(E503&lt;&gt;"",G503&lt;&gt;"",J503&gt;0),IF(I503&gt;=Inputs!$B$6,1,0),0)</f>
        <v>0</v>
      </c>
      <c r="L503" s="5" t="n">
        <v>0</v>
      </c>
      <c r="M503" s="5" t="n">
        <v>492.1082</v>
      </c>
      <c r="N503" s="5" t="n">
        <v>2.5</v>
      </c>
      <c r="O503" s="4" t="s">
        <v>64</v>
      </c>
      <c r="P503" s="2" t="n">
        <f aca="false">IF(K503=1,J503/G503^2,0)</f>
        <v>0</v>
      </c>
      <c r="Q503" s="2" t="n">
        <f aca="false">IF(K503=1,((E503-Result!$B$7*D503)/G503)^2,0)</f>
        <v>0</v>
      </c>
    </row>
    <row r="504" customFormat="false" ht="15" hidden="false" customHeight="false" outlineLevel="0" collapsed="false">
      <c r="A504" s="4" t="s">
        <v>37</v>
      </c>
      <c r="B504" s="4" t="s">
        <v>570</v>
      </c>
      <c r="C504" s="4" t="s">
        <v>63</v>
      </c>
      <c r="D504" s="5" t="n">
        <v>377.7034</v>
      </c>
      <c r="E504" s="5" t="n">
        <v>3.42</v>
      </c>
      <c r="F504" s="5" t="n">
        <v>0.00507766022000408</v>
      </c>
      <c r="G504" s="5" t="n">
        <v>1.2613</v>
      </c>
      <c r="H504" s="2" t="n">
        <f aca="false">D504*F504</f>
        <v>1.91784952914029</v>
      </c>
      <c r="I504" s="2" t="n">
        <f aca="false">IF(G504="","",D504*1000000/Inputs!$B$4^2*Inputs!$B$5/G504)</f>
        <v>1.52174688540684</v>
      </c>
      <c r="J504" s="2" t="n">
        <f aca="false">IF(C504="A",Inputs!$B$7,IF(C504="B",Inputs!$B$8,IF(C504="C",Inputs!$B$9,0)))</f>
        <v>1</v>
      </c>
      <c r="K504" s="2" t="n">
        <f aca="false">IF(AND(E504&lt;&gt;"",G504&lt;&gt;"",J504&gt;0),IF(I504&gt;=Inputs!$B$6,1,0),0)</f>
        <v>0</v>
      </c>
      <c r="L504" s="5" t="n">
        <v>1</v>
      </c>
      <c r="M504" s="5" t="n">
        <v>377.7023</v>
      </c>
      <c r="N504" s="5" t="n">
        <v>1.92</v>
      </c>
      <c r="O504" s="4" t="s">
        <v>64</v>
      </c>
      <c r="P504" s="2" t="n">
        <f aca="false">IF(K504=1,J504/G504^2,0)</f>
        <v>0</v>
      </c>
      <c r="Q504" s="2" t="n">
        <f aca="false">IF(K504=1,((E504-Result!$B$7*D504)/G504)^2,0)</f>
        <v>0</v>
      </c>
    </row>
    <row r="505" customFormat="false" ht="15" hidden="false" customHeight="false" outlineLevel="0" collapsed="false">
      <c r="A505" s="4" t="s">
        <v>37</v>
      </c>
      <c r="B505" s="4" t="s">
        <v>571</v>
      </c>
      <c r="C505" s="4" t="s">
        <v>63</v>
      </c>
      <c r="D505" s="5" t="n">
        <v>385.3046</v>
      </c>
      <c r="E505" s="5" t="n">
        <v>1.94</v>
      </c>
      <c r="F505" s="5" t="n">
        <v>0.00507755523323822</v>
      </c>
      <c r="G505" s="5" t="n">
        <v>1.2613</v>
      </c>
      <c r="H505" s="2" t="n">
        <f aca="false">D505*F505</f>
        <v>1.95640538812076</v>
      </c>
      <c r="I505" s="2" t="n">
        <f aca="false">IF(G505="","",D505*1000000/Inputs!$B$4^2*Inputs!$B$5/G505)</f>
        <v>1.55237171543314</v>
      </c>
      <c r="J505" s="2" t="n">
        <f aca="false">IF(C505="A",Inputs!$B$7,IF(C505="B",Inputs!$B$8,IF(C505="C",Inputs!$B$9,0)))</f>
        <v>1</v>
      </c>
      <c r="K505" s="2" t="n">
        <f aca="false">IF(AND(E505&lt;&gt;"",G505&lt;&gt;"",J505&gt;0),IF(I505&gt;=Inputs!$B$6,1,0),0)</f>
        <v>0</v>
      </c>
      <c r="L505" s="5" t="n">
        <v>0</v>
      </c>
      <c r="M505" s="5" t="n">
        <v>385.3035</v>
      </c>
      <c r="N505" s="5" t="n">
        <v>1.96</v>
      </c>
      <c r="O505" s="4" t="s">
        <v>64</v>
      </c>
      <c r="P505" s="2" t="n">
        <f aca="false">IF(K505=1,J505/G505^2,0)</f>
        <v>0</v>
      </c>
      <c r="Q505" s="2" t="n">
        <f aca="false">IF(K505=1,((E505-Result!$B$7*D505)/G505)^2,0)</f>
        <v>0</v>
      </c>
    </row>
    <row r="506" customFormat="false" ht="15" hidden="false" customHeight="false" outlineLevel="0" collapsed="false">
      <c r="A506" s="4" t="s">
        <v>37</v>
      </c>
      <c r="B506" s="4" t="s">
        <v>572</v>
      </c>
      <c r="C506" s="4" t="s">
        <v>63</v>
      </c>
      <c r="D506" s="5" t="n">
        <v>364.1274</v>
      </c>
      <c r="E506" s="5" t="n">
        <v>2.27</v>
      </c>
      <c r="F506" s="5" t="n">
        <v>0.00507757820761284</v>
      </c>
      <c r="G506" s="5" t="n">
        <v>1.2613</v>
      </c>
      <c r="H506" s="2" t="n">
        <f aca="false">D506*F506</f>
        <v>1.84888535103472</v>
      </c>
      <c r="I506" s="2" t="n">
        <f aca="false">IF(G506="","",D506*1000000/Inputs!$B$4^2*Inputs!$B$5/G506)</f>
        <v>1.46704990434635</v>
      </c>
      <c r="J506" s="2" t="n">
        <f aca="false">IF(C506="A",Inputs!$B$7,IF(C506="B",Inputs!$B$8,IF(C506="C",Inputs!$B$9,0)))</f>
        <v>1</v>
      </c>
      <c r="K506" s="2" t="n">
        <f aca="false">IF(AND(E506&lt;&gt;"",G506&lt;&gt;"",J506&gt;0),IF(I506&gt;=Inputs!$B$6,1,0),0)</f>
        <v>0</v>
      </c>
      <c r="L506" s="5" t="n">
        <v>1</v>
      </c>
      <c r="M506" s="5" t="n">
        <v>364.1259</v>
      </c>
      <c r="N506" s="5" t="n">
        <v>1.85</v>
      </c>
      <c r="O506" s="4" t="s">
        <v>64</v>
      </c>
      <c r="P506" s="2" t="n">
        <f aca="false">IF(K506=1,J506/G506^2,0)</f>
        <v>0</v>
      </c>
      <c r="Q506" s="2" t="n">
        <f aca="false">IF(K506=1,((E506-Result!$B$7*D506)/G506)^2,0)</f>
        <v>0</v>
      </c>
    </row>
    <row r="507" customFormat="false" ht="15" hidden="false" customHeight="false" outlineLevel="0" collapsed="false">
      <c r="A507" s="4" t="s">
        <v>37</v>
      </c>
      <c r="B507" s="4" t="s">
        <v>573</v>
      </c>
      <c r="C507" s="4" t="s">
        <v>63</v>
      </c>
      <c r="D507" s="5" t="n">
        <v>355.358</v>
      </c>
      <c r="E507" s="5" t="n">
        <v>2.07</v>
      </c>
      <c r="F507" s="5" t="n">
        <v>0.00507765029790011</v>
      </c>
      <c r="G507" s="5" t="n">
        <v>1.2613</v>
      </c>
      <c r="H507" s="2" t="n">
        <f aca="false">D507*F507</f>
        <v>1.80438365456119</v>
      </c>
      <c r="I507" s="2" t="n">
        <f aca="false">IF(G507="","",D507*1000000/Inputs!$B$4^2*Inputs!$B$5/G507)</f>
        <v>1.43171845872821</v>
      </c>
      <c r="J507" s="2" t="n">
        <f aca="false">IF(C507="A",Inputs!$B$7,IF(C507="B",Inputs!$B$8,IF(C507="C",Inputs!$B$9,0)))</f>
        <v>1</v>
      </c>
      <c r="K507" s="2" t="n">
        <f aca="false">IF(AND(E507&lt;&gt;"",G507&lt;&gt;"",J507&gt;0),IF(I507&gt;=Inputs!$B$6,1,0),0)</f>
        <v>0</v>
      </c>
      <c r="L507" s="5" t="n">
        <v>0</v>
      </c>
      <c r="M507" s="5" t="n">
        <v>355.3568</v>
      </c>
      <c r="N507" s="5" t="n">
        <v>1.81</v>
      </c>
      <c r="O507" s="4" t="s">
        <v>64</v>
      </c>
      <c r="P507" s="2" t="n">
        <f aca="false">IF(K507=1,J507/G507^2,0)</f>
        <v>0</v>
      </c>
      <c r="Q507" s="2" t="n">
        <f aca="false">IF(K507=1,((E507-Result!$B$7*D507)/G507)^2,0)</f>
        <v>0</v>
      </c>
    </row>
    <row r="508" customFormat="false" ht="15" hidden="false" customHeight="false" outlineLevel="0" collapsed="false">
      <c r="A508" s="4" t="s">
        <v>37</v>
      </c>
      <c r="B508" s="4" t="s">
        <v>574</v>
      </c>
      <c r="C508" s="4" t="s">
        <v>63</v>
      </c>
      <c r="D508" s="5" t="n">
        <v>316.7303</v>
      </c>
      <c r="E508" s="5" t="n">
        <v>0.88</v>
      </c>
      <c r="F508" s="5" t="n">
        <v>0.00507765408783916</v>
      </c>
      <c r="G508" s="5" t="n">
        <v>1.2613</v>
      </c>
      <c r="H508" s="2" t="n">
        <f aca="false">D508*F508</f>
        <v>1.60824690253752</v>
      </c>
      <c r="I508" s="2" t="n">
        <f aca="false">IF(G508="","",D508*1000000/Inputs!$B$4^2*Inputs!$B$5/G508)</f>
        <v>1.27608951240305</v>
      </c>
      <c r="J508" s="2" t="n">
        <f aca="false">IF(C508="A",Inputs!$B$7,IF(C508="B",Inputs!$B$8,IF(C508="C",Inputs!$B$9,0)))</f>
        <v>1</v>
      </c>
      <c r="K508" s="2" t="n">
        <f aca="false">IF(AND(E508&lt;&gt;"",G508&lt;&gt;"",J508&gt;0),IF(I508&gt;=Inputs!$B$6,1,0),0)</f>
        <v>0</v>
      </c>
      <c r="L508" s="5" t="n">
        <v>1</v>
      </c>
      <c r="M508" s="5" t="n">
        <v>316.7292</v>
      </c>
      <c r="N508" s="5" t="n">
        <v>1.61</v>
      </c>
      <c r="O508" s="4" t="s">
        <v>64</v>
      </c>
      <c r="P508" s="2" t="n">
        <f aca="false">IF(K508=1,J508/G508^2,0)</f>
        <v>0</v>
      </c>
      <c r="Q508" s="2" t="n">
        <f aca="false">IF(K508=1,((E508-Result!$B$7*D508)/G508)^2,0)</f>
        <v>0</v>
      </c>
    </row>
    <row r="509" customFormat="false" ht="15" hidden="false" customHeight="false" outlineLevel="0" collapsed="false">
      <c r="A509" s="4" t="s">
        <v>37</v>
      </c>
      <c r="B509" s="4" t="s">
        <v>575</v>
      </c>
      <c r="C509" s="4" t="s">
        <v>63</v>
      </c>
      <c r="D509" s="5" t="n">
        <v>325.4994</v>
      </c>
      <c r="E509" s="5" t="n">
        <v>1.08</v>
      </c>
      <c r="F509" s="5" t="n">
        <v>0.005077573378747</v>
      </c>
      <c r="G509" s="5" t="n">
        <v>1.2613</v>
      </c>
      <c r="H509" s="2" t="n">
        <f aca="false">D509*F509</f>
        <v>1.65274708823812</v>
      </c>
      <c r="I509" s="2" t="n">
        <f aca="false">IF(G509="","",D509*1000000/Inputs!$B$4^2*Inputs!$B$5/G509)</f>
        <v>1.31141974933717</v>
      </c>
      <c r="J509" s="2" t="n">
        <f aca="false">IF(C509="A",Inputs!$B$7,IF(C509="B",Inputs!$B$8,IF(C509="C",Inputs!$B$9,0)))</f>
        <v>1</v>
      </c>
      <c r="K509" s="2" t="n">
        <f aca="false">IF(AND(E509&lt;&gt;"",G509&lt;&gt;"",J509&gt;0),IF(I509&gt;=Inputs!$B$6,1,0),0)</f>
        <v>0</v>
      </c>
      <c r="L509" s="5" t="n">
        <v>0</v>
      </c>
      <c r="M509" s="5" t="n">
        <v>325.4983</v>
      </c>
      <c r="N509" s="5" t="n">
        <v>1.65</v>
      </c>
      <c r="O509" s="4" t="s">
        <v>64</v>
      </c>
      <c r="P509" s="2" t="n">
        <f aca="false">IF(K509=1,J509/G509^2,0)</f>
        <v>0</v>
      </c>
      <c r="Q509" s="2" t="n">
        <f aca="false">IF(K509=1,((E509-Result!$B$7*D509)/G509)^2,0)</f>
        <v>0</v>
      </c>
    </row>
    <row r="510" customFormat="false" ht="15" hidden="false" customHeight="false" outlineLevel="0" collapsed="false">
      <c r="A510" s="4" t="s">
        <v>37</v>
      </c>
      <c r="B510" s="4" t="s">
        <v>576</v>
      </c>
      <c r="C510" s="4" t="s">
        <v>63</v>
      </c>
      <c r="D510" s="5" t="n">
        <v>142.4936</v>
      </c>
      <c r="E510" s="5" t="n">
        <v>0.06</v>
      </c>
      <c r="F510" s="5" t="n">
        <v>0.00507759972651968</v>
      </c>
      <c r="G510" s="5" t="n">
        <v>1.2613</v>
      </c>
      <c r="H510" s="2" t="n">
        <f aca="false">D510*F510</f>
        <v>0.723525464390805</v>
      </c>
      <c r="I510" s="2" t="n">
        <f aca="false">IF(G510="","",D510*1000000/Inputs!$B$4^2*Inputs!$B$5/G510)</f>
        <v>0.574099126432032</v>
      </c>
      <c r="J510" s="2" t="n">
        <f aca="false">IF(C510="A",Inputs!$B$7,IF(C510="B",Inputs!$B$8,IF(C510="C",Inputs!$B$9,0)))</f>
        <v>1</v>
      </c>
      <c r="K510" s="2" t="n">
        <f aca="false">IF(AND(E510&lt;&gt;"",G510&lt;&gt;"",J510&gt;0),IF(I510&gt;=Inputs!$B$6,1,0),0)</f>
        <v>0</v>
      </c>
      <c r="L510" s="5" t="n">
        <v>0</v>
      </c>
      <c r="M510" s="5" t="n">
        <v>142.493</v>
      </c>
      <c r="N510" s="5" t="n">
        <v>0.72</v>
      </c>
      <c r="O510" s="4" t="s">
        <v>64</v>
      </c>
      <c r="P510" s="2" t="n">
        <f aca="false">IF(K510=1,J510/G510^2,0)</f>
        <v>0</v>
      </c>
      <c r="Q510" s="2" t="n">
        <f aca="false">IF(K510=1,((E510-Result!$B$7*D510)/G510)^2,0)</f>
        <v>0</v>
      </c>
    </row>
    <row r="511" customFormat="false" ht="15" hidden="false" customHeight="false" outlineLevel="0" collapsed="false">
      <c r="A511" s="4" t="s">
        <v>37</v>
      </c>
      <c r="B511" s="4" t="s">
        <v>577</v>
      </c>
      <c r="C511" s="4" t="s">
        <v>63</v>
      </c>
      <c r="D511" s="5" t="n">
        <v>308.4421</v>
      </c>
      <c r="E511" s="5" t="n">
        <v>0.23</v>
      </c>
      <c r="F511" s="5" t="n">
        <v>0.00507762240735772</v>
      </c>
      <c r="G511" s="5" t="n">
        <v>1.2613</v>
      </c>
      <c r="H511" s="2" t="n">
        <f aca="false">D511*F511</f>
        <v>1.56615251833247</v>
      </c>
      <c r="I511" s="2" t="n">
        <f aca="false">IF(G511="","",D511*1000000/Inputs!$B$4^2*Inputs!$B$5/G511)</f>
        <v>1.24269679596039</v>
      </c>
      <c r="J511" s="2" t="n">
        <f aca="false">IF(C511="A",Inputs!$B$7,IF(C511="B",Inputs!$B$8,IF(C511="C",Inputs!$B$9,0)))</f>
        <v>1</v>
      </c>
      <c r="K511" s="2" t="n">
        <f aca="false">IF(AND(E511&lt;&gt;"",G511&lt;&gt;"",J511&gt;0),IF(I511&gt;=Inputs!$B$6,1,0),0)</f>
        <v>0</v>
      </c>
      <c r="L511" s="5" t="n">
        <v>1</v>
      </c>
      <c r="M511" s="5" t="n">
        <v>308.4412</v>
      </c>
      <c r="N511" s="5" t="n">
        <v>1.57</v>
      </c>
      <c r="O511" s="4" t="s">
        <v>64</v>
      </c>
      <c r="P511" s="2" t="n">
        <f aca="false">IF(K511=1,J511/G511^2,0)</f>
        <v>0</v>
      </c>
      <c r="Q511" s="2" t="n">
        <f aca="false">IF(K511=1,((E511-Result!$B$7*D511)/G511)^2,0)</f>
        <v>0</v>
      </c>
    </row>
    <row r="512" customFormat="false" ht="15" hidden="false" customHeight="false" outlineLevel="0" collapsed="false">
      <c r="A512" s="4" t="s">
        <v>37</v>
      </c>
      <c r="B512" s="4" t="s">
        <v>578</v>
      </c>
      <c r="C512" s="4" t="s">
        <v>63</v>
      </c>
      <c r="D512" s="5" t="n">
        <v>158.637</v>
      </c>
      <c r="E512" s="5" t="n">
        <v>-1.02</v>
      </c>
      <c r="F512" s="5" t="n">
        <v>0.0050776449567932</v>
      </c>
      <c r="G512" s="5" t="n">
        <v>1.2613</v>
      </c>
      <c r="H512" s="2" t="n">
        <f aca="false">D512*F512</f>
        <v>0.805502363010803</v>
      </c>
      <c r="I512" s="2" t="n">
        <f aca="false">IF(G512="","",D512*1000000/Inputs!$B$4^2*Inputs!$B$5/G512)</f>
        <v>0.639140025375163</v>
      </c>
      <c r="J512" s="2" t="n">
        <f aca="false">IF(C512="A",Inputs!$B$7,IF(C512="B",Inputs!$B$8,IF(C512="C",Inputs!$B$9,0)))</f>
        <v>1</v>
      </c>
      <c r="K512" s="2" t="n">
        <f aca="false">IF(AND(E512&lt;&gt;"",G512&lt;&gt;"",J512&gt;0),IF(I512&gt;=Inputs!$B$6,1,0),0)</f>
        <v>0</v>
      </c>
      <c r="L512" s="5" t="n">
        <v>0</v>
      </c>
      <c r="M512" s="5" t="n">
        <v>158.6364</v>
      </c>
      <c r="N512" s="5" t="n">
        <v>0.81</v>
      </c>
      <c r="O512" s="4" t="s">
        <v>64</v>
      </c>
      <c r="P512" s="2" t="n">
        <f aca="false">IF(K512=1,J512/G512^2,0)</f>
        <v>0</v>
      </c>
      <c r="Q512" s="2" t="n">
        <f aca="false">IF(K512=1,((E512-Result!$B$7*D512)/G512)^2,0)</f>
        <v>0</v>
      </c>
    </row>
    <row r="513" customFormat="false" ht="15" hidden="false" customHeight="false" outlineLevel="0" collapsed="false">
      <c r="A513" s="4" t="s">
        <v>37</v>
      </c>
      <c r="B513" s="4" t="s">
        <v>579</v>
      </c>
      <c r="C513" s="4" t="s">
        <v>63</v>
      </c>
      <c r="D513" s="5" t="n">
        <v>7.3123</v>
      </c>
      <c r="E513" s="5" t="n">
        <v>1.19</v>
      </c>
      <c r="F513" s="5" t="n">
        <v>0.00507757286404017</v>
      </c>
      <c r="G513" s="5" t="n">
        <v>1.2613</v>
      </c>
      <c r="H513" s="2" t="n">
        <f aca="false">D513*F513</f>
        <v>0.0371287360537209</v>
      </c>
      <c r="I513" s="2" t="n">
        <f aca="false">IF(G513="","",D513*1000000/Inputs!$B$4^2*Inputs!$B$5/G513)</f>
        <v>0.0294608673105946</v>
      </c>
      <c r="J513" s="2" t="n">
        <f aca="false">IF(C513="A",Inputs!$B$7,IF(C513="B",Inputs!$B$8,IF(C513="C",Inputs!$B$9,0)))</f>
        <v>1</v>
      </c>
      <c r="K513" s="2" t="n">
        <f aca="false">IF(AND(E513&lt;&gt;"",G513&lt;&gt;"",J513&gt;0),IF(I513&gt;=Inputs!$B$6,1,0),0)</f>
        <v>0</v>
      </c>
      <c r="L513" s="5" t="n">
        <v>0</v>
      </c>
      <c r="M513" s="5" t="n">
        <v>7.3118</v>
      </c>
      <c r="N513" s="5" t="n">
        <v>0.037</v>
      </c>
      <c r="O513" s="4" t="s">
        <v>64</v>
      </c>
      <c r="P513" s="2" t="n">
        <f aca="false">IF(K513=1,J513/G513^2,0)</f>
        <v>0</v>
      </c>
      <c r="Q513" s="2" t="n">
        <f aca="false">IF(K513=1,((E513-Result!$B$7*D513)/G513)^2,0)</f>
        <v>0</v>
      </c>
    </row>
    <row r="514" customFormat="false" ht="15" hidden="false" customHeight="false" outlineLevel="0" collapsed="false">
      <c r="A514" s="4" t="s">
        <v>37</v>
      </c>
      <c r="B514" s="4" t="s">
        <v>580</v>
      </c>
      <c r="C514" s="4" t="s">
        <v>63</v>
      </c>
      <c r="D514" s="5" t="n">
        <v>281.687</v>
      </c>
      <c r="E514" s="5" t="n">
        <v>1.51</v>
      </c>
      <c r="F514" s="5" t="n">
        <v>0.00507752640552866</v>
      </c>
      <c r="G514" s="5" t="n">
        <v>1.2613</v>
      </c>
      <c r="H514" s="2" t="n">
        <f aca="false">D514*F514</f>
        <v>1.43027318059415</v>
      </c>
      <c r="I514" s="2" t="n">
        <f aca="false">IF(G514="","",D514*1000000/Inputs!$B$4^2*Inputs!$B$5/G514)</f>
        <v>1.13490192280397</v>
      </c>
      <c r="J514" s="2" t="n">
        <f aca="false">IF(C514="A",Inputs!$B$7,IF(C514="B",Inputs!$B$8,IF(C514="C",Inputs!$B$9,0)))</f>
        <v>1</v>
      </c>
      <c r="K514" s="2" t="n">
        <f aca="false">IF(AND(E514&lt;&gt;"",G514&lt;&gt;"",J514&gt;0),IF(I514&gt;=Inputs!$B$6,1,0),0)</f>
        <v>0</v>
      </c>
      <c r="L514" s="5" t="n">
        <v>1</v>
      </c>
      <c r="M514" s="5" t="n">
        <v>281.6863</v>
      </c>
      <c r="N514" s="5" t="n">
        <v>1.43</v>
      </c>
      <c r="O514" s="4" t="s">
        <v>64</v>
      </c>
      <c r="P514" s="2" t="n">
        <f aca="false">IF(K514=1,J514/G514^2,0)</f>
        <v>0</v>
      </c>
      <c r="Q514" s="2" t="n">
        <f aca="false">IF(K514=1,((E514-Result!$B$7*D514)/G514)^2,0)</f>
        <v>0</v>
      </c>
    </row>
    <row r="515" customFormat="false" ht="15" hidden="false" customHeight="false" outlineLevel="0" collapsed="false">
      <c r="A515" s="4" t="s">
        <v>37</v>
      </c>
      <c r="B515" s="4" t="s">
        <v>581</v>
      </c>
      <c r="C515" s="4" t="s">
        <v>63</v>
      </c>
      <c r="D515" s="5" t="n">
        <v>136.9205</v>
      </c>
      <c r="E515" s="5" t="n">
        <v>2.49</v>
      </c>
      <c r="F515" s="5" t="n">
        <v>0.005077503710849</v>
      </c>
      <c r="G515" s="5" t="n">
        <v>1.2613</v>
      </c>
      <c r="H515" s="2" t="n">
        <f aca="false">D515*F515</f>
        <v>0.695214346841301</v>
      </c>
      <c r="I515" s="2" t="n">
        <f aca="false">IF(G515="","",D515*1000000/Inputs!$B$4^2*Inputs!$B$5/G515)</f>
        <v>0.551645403306795</v>
      </c>
      <c r="J515" s="2" t="n">
        <f aca="false">IF(C515="A",Inputs!$B$7,IF(C515="B",Inputs!$B$8,IF(C515="C",Inputs!$B$9,0)))</f>
        <v>1</v>
      </c>
      <c r="K515" s="2" t="n">
        <f aca="false">IF(AND(E515&lt;&gt;"",G515&lt;&gt;"",J515&gt;0),IF(I515&gt;=Inputs!$B$6,1,0),0)</f>
        <v>0</v>
      </c>
      <c r="L515" s="5" t="n">
        <v>0</v>
      </c>
      <c r="M515" s="5" t="n">
        <v>136.92</v>
      </c>
      <c r="N515" s="5" t="n">
        <v>0.7</v>
      </c>
      <c r="O515" s="4" t="s">
        <v>64</v>
      </c>
      <c r="P515" s="2" t="n">
        <f aca="false">IF(K515=1,J515/G515^2,0)</f>
        <v>0</v>
      </c>
      <c r="Q515" s="2" t="n">
        <f aca="false">IF(K515=1,((E515-Result!$B$7*D515)/G515)^2,0)</f>
        <v>0</v>
      </c>
    </row>
    <row r="516" customFormat="false" ht="15" hidden="false" customHeight="false" outlineLevel="0" collapsed="false">
      <c r="A516" s="4" t="s">
        <v>37</v>
      </c>
      <c r="B516" s="4" t="s">
        <v>582</v>
      </c>
      <c r="C516" s="4" t="s">
        <v>63</v>
      </c>
      <c r="D516" s="5" t="n">
        <v>152.0787</v>
      </c>
      <c r="E516" s="5" t="n">
        <v>0.21</v>
      </c>
      <c r="F516" s="5" t="n">
        <v>0.00507754896877179</v>
      </c>
      <c r="G516" s="5" t="n">
        <v>1.2613</v>
      </c>
      <c r="H516" s="2" t="n">
        <f aca="false">D516*F516</f>
        <v>0.772187046357154</v>
      </c>
      <c r="I516" s="2" t="n">
        <f aca="false">IF(G516="","",D516*1000000/Inputs!$B$4^2*Inputs!$B$5/G516)</f>
        <v>0.612716983913096</v>
      </c>
      <c r="J516" s="2" t="n">
        <f aca="false">IF(C516="A",Inputs!$B$7,IF(C516="B",Inputs!$B$8,IF(C516="C",Inputs!$B$9,0)))</f>
        <v>1</v>
      </c>
      <c r="K516" s="2" t="n">
        <f aca="false">IF(AND(E516&lt;&gt;"",G516&lt;&gt;"",J516&gt;0),IF(I516&gt;=Inputs!$B$6,1,0),0)</f>
        <v>0</v>
      </c>
      <c r="L516" s="5" t="n">
        <v>0</v>
      </c>
      <c r="M516" s="5" t="n">
        <v>152.078</v>
      </c>
      <c r="N516" s="5" t="n">
        <v>0.77</v>
      </c>
      <c r="O516" s="4" t="s">
        <v>64</v>
      </c>
      <c r="P516" s="2" t="n">
        <f aca="false">IF(K516=1,J516/G516^2,0)</f>
        <v>0</v>
      </c>
      <c r="Q516" s="2" t="n">
        <f aca="false">IF(K516=1,((E516-Result!$B$7*D516)/G516)^2,0)</f>
        <v>0</v>
      </c>
    </row>
    <row r="517" customFormat="false" ht="15" hidden="false" customHeight="false" outlineLevel="0" collapsed="false">
      <c r="A517" s="4" t="s">
        <v>37</v>
      </c>
      <c r="B517" s="4" t="s">
        <v>583</v>
      </c>
      <c r="C517" s="4" t="s">
        <v>63</v>
      </c>
      <c r="D517" s="5" t="n">
        <v>171.5433</v>
      </c>
      <c r="E517" s="5" t="n">
        <v>2.55</v>
      </c>
      <c r="F517" s="5" t="n">
        <v>0.00507754788925716</v>
      </c>
      <c r="G517" s="5" t="n">
        <v>1.2613</v>
      </c>
      <c r="H517" s="2" t="n">
        <f aca="false">D517*F517</f>
        <v>0.871019320831209</v>
      </c>
      <c r="I517" s="2" t="n">
        <f aca="false">IF(G517="","",D517*1000000/Inputs!$B$4^2*Inputs!$B$5/G517)</f>
        <v>0.691138820798043</v>
      </c>
      <c r="J517" s="2" t="n">
        <f aca="false">IF(C517="A",Inputs!$B$7,IF(C517="B",Inputs!$B$8,IF(C517="C",Inputs!$B$9,0)))</f>
        <v>1</v>
      </c>
      <c r="K517" s="2" t="n">
        <f aca="false">IF(AND(E517&lt;&gt;"",G517&lt;&gt;"",J517&gt;0),IF(I517&gt;=Inputs!$B$6,1,0),0)</f>
        <v>0</v>
      </c>
      <c r="L517" s="5" t="n">
        <v>0</v>
      </c>
      <c r="M517" s="5" t="n">
        <v>171.5427</v>
      </c>
      <c r="N517" s="5" t="n">
        <v>0.87</v>
      </c>
      <c r="O517" s="4" t="s">
        <v>64</v>
      </c>
      <c r="P517" s="2" t="n">
        <f aca="false">IF(K517=1,J517/G517^2,0)</f>
        <v>0</v>
      </c>
      <c r="Q517" s="2" t="n">
        <f aca="false">IF(K517=1,((E517-Result!$B$7*D517)/G517)^2,0)</f>
        <v>0</v>
      </c>
    </row>
    <row r="518" customFormat="false" ht="15" hidden="false" customHeight="false" outlineLevel="0" collapsed="false">
      <c r="A518" s="4" t="s">
        <v>37</v>
      </c>
      <c r="B518" s="4" t="s">
        <v>584</v>
      </c>
      <c r="C518" s="4" t="s">
        <v>63</v>
      </c>
      <c r="D518" s="5" t="n">
        <v>297.5891</v>
      </c>
      <c r="E518" s="5" t="n">
        <v>2.77</v>
      </c>
      <c r="F518" s="5" t="n">
        <v>0.00507748619692504</v>
      </c>
      <c r="G518" s="5" t="n">
        <v>1.2613</v>
      </c>
      <c r="H518" s="2" t="n">
        <f aca="false">D518*F518</f>
        <v>1.51100454760535</v>
      </c>
      <c r="I518" s="2" t="n">
        <f aca="false">IF(G518="","",D518*1000000/Inputs!$B$4^2*Inputs!$B$5/G518)</f>
        <v>1.19897063689664</v>
      </c>
      <c r="J518" s="2" t="n">
        <f aca="false">IF(C518="A",Inputs!$B$7,IF(C518="B",Inputs!$B$8,IF(C518="C",Inputs!$B$9,0)))</f>
        <v>1</v>
      </c>
      <c r="K518" s="2" t="n">
        <f aca="false">IF(AND(E518&lt;&gt;"",G518&lt;&gt;"",J518&gt;0),IF(I518&gt;=Inputs!$B$6,1,0),0)</f>
        <v>0</v>
      </c>
      <c r="L518" s="5" t="n">
        <v>1</v>
      </c>
      <c r="M518" s="5" t="n">
        <v>297.5882</v>
      </c>
      <c r="N518" s="5" t="n">
        <v>1.51</v>
      </c>
      <c r="O518" s="4" t="s">
        <v>64</v>
      </c>
      <c r="P518" s="2" t="n">
        <f aca="false">IF(K518=1,J518/G518^2,0)</f>
        <v>0</v>
      </c>
      <c r="Q518" s="2" t="n">
        <f aca="false">IF(K518=1,((E518-Result!$B$7*D518)/G518)^2,0)</f>
        <v>0</v>
      </c>
    </row>
    <row r="519" customFormat="false" ht="15" hidden="false" customHeight="false" outlineLevel="0" collapsed="false">
      <c r="A519" s="4" t="s">
        <v>37</v>
      </c>
      <c r="B519" s="4" t="s">
        <v>585</v>
      </c>
      <c r="C519" s="4" t="s">
        <v>63</v>
      </c>
      <c r="D519" s="5" t="n">
        <v>235.8314</v>
      </c>
      <c r="E519" s="5" t="n">
        <v>0.5</v>
      </c>
      <c r="F519" s="5" t="n">
        <v>0.00507746241641074</v>
      </c>
      <c r="G519" s="5" t="n">
        <v>1.2613</v>
      </c>
      <c r="H519" s="2" t="n">
        <f aca="false">D519*F519</f>
        <v>1.19742507010953</v>
      </c>
      <c r="I519" s="2" t="n">
        <f aca="false">IF(G519="","",D519*1000000/Inputs!$B$4^2*Inputs!$B$5/G519)</f>
        <v>0.950152152273808</v>
      </c>
      <c r="J519" s="2" t="n">
        <f aca="false">IF(C519="A",Inputs!$B$7,IF(C519="B",Inputs!$B$8,IF(C519="C",Inputs!$B$9,0)))</f>
        <v>1</v>
      </c>
      <c r="K519" s="2" t="n">
        <f aca="false">IF(AND(E519&lt;&gt;"",G519&lt;&gt;"",J519&gt;0),IF(I519&gt;=Inputs!$B$6,1,0),0)</f>
        <v>0</v>
      </c>
      <c r="L519" s="5" t="n">
        <v>0</v>
      </c>
      <c r="M519" s="5" t="n">
        <v>235.8305</v>
      </c>
      <c r="N519" s="5" t="n">
        <v>1.2</v>
      </c>
      <c r="O519" s="4" t="s">
        <v>64</v>
      </c>
      <c r="P519" s="2" t="n">
        <f aca="false">IF(K519=1,J519/G519^2,0)</f>
        <v>0</v>
      </c>
      <c r="Q519" s="2" t="n">
        <f aca="false">IF(K519=1,((E519-Result!$B$7*D519)/G519)^2,0)</f>
        <v>0</v>
      </c>
    </row>
    <row r="520" customFormat="false" ht="15" hidden="false" customHeight="false" outlineLevel="0" collapsed="false">
      <c r="A520" s="4" t="s">
        <v>37</v>
      </c>
      <c r="B520" s="4" t="s">
        <v>586</v>
      </c>
      <c r="C520" s="4" t="s">
        <v>63</v>
      </c>
      <c r="D520" s="5" t="n">
        <v>109.7853</v>
      </c>
      <c r="E520" s="5" t="n">
        <v>0.28</v>
      </c>
      <c r="F520" s="5" t="n">
        <v>0.00507753158761917</v>
      </c>
      <c r="G520" s="5" t="n">
        <v>1.2613</v>
      </c>
      <c r="H520" s="2" t="n">
        <f aca="false">D520*F520</f>
        <v>0.557438328606247</v>
      </c>
      <c r="I520" s="2" t="n">
        <f aca="false">IF(G520="","",D520*1000000/Inputs!$B$4^2*Inputs!$B$5/G520)</f>
        <v>0.44231912749119</v>
      </c>
      <c r="J520" s="2" t="n">
        <f aca="false">IF(C520="A",Inputs!$B$7,IF(C520="B",Inputs!$B$8,IF(C520="C",Inputs!$B$9,0)))</f>
        <v>1</v>
      </c>
      <c r="K520" s="2" t="n">
        <f aca="false">IF(AND(E520&lt;&gt;"",G520&lt;&gt;"",J520&gt;0),IF(I520&gt;=Inputs!$B$6,1,0),0)</f>
        <v>0</v>
      </c>
      <c r="L520" s="5" t="n">
        <v>0</v>
      </c>
      <c r="M520" s="5" t="n">
        <v>109.785</v>
      </c>
      <c r="N520" s="5" t="n">
        <v>0.56</v>
      </c>
      <c r="O520" s="4" t="s">
        <v>64</v>
      </c>
      <c r="P520" s="2" t="n">
        <f aca="false">IF(K520=1,J520/G520^2,0)</f>
        <v>0</v>
      </c>
      <c r="Q520" s="2" t="n">
        <f aca="false">IF(K520=1,((E520-Result!$B$7*D520)/G520)^2,0)</f>
        <v>0</v>
      </c>
    </row>
    <row r="521" customFormat="false" ht="15" hidden="false" customHeight="false" outlineLevel="0" collapsed="false">
      <c r="A521" s="4" t="s">
        <v>37</v>
      </c>
      <c r="B521" s="4" t="s">
        <v>587</v>
      </c>
      <c r="C521" s="4" t="s">
        <v>63</v>
      </c>
      <c r="D521" s="5" t="n">
        <v>229.1231</v>
      </c>
      <c r="E521" s="5" t="n">
        <v>0.63</v>
      </c>
      <c r="F521" s="5" t="n">
        <v>0.00507753071191534</v>
      </c>
      <c r="G521" s="5" t="n">
        <v>1.2613</v>
      </c>
      <c r="H521" s="2" t="n">
        <f aca="false">D521*F521</f>
        <v>1.16337957705925</v>
      </c>
      <c r="I521" s="2" t="n">
        <f aca="false">IF(G521="","",D521*1000000/Inputs!$B$4^2*Inputs!$B$5/G521)</f>
        <v>0.923124768799435</v>
      </c>
      <c r="J521" s="2" t="n">
        <f aca="false">IF(C521="A",Inputs!$B$7,IF(C521="B",Inputs!$B$8,IF(C521="C",Inputs!$B$9,0)))</f>
        <v>1</v>
      </c>
      <c r="K521" s="2" t="n">
        <f aca="false">IF(AND(E521&lt;&gt;"",G521&lt;&gt;"",J521&gt;0),IF(I521&gt;=Inputs!$B$6,1,0),0)</f>
        <v>0</v>
      </c>
      <c r="L521" s="5" t="n">
        <v>0</v>
      </c>
      <c r="M521" s="5" t="n">
        <v>229.1221</v>
      </c>
      <c r="N521" s="5" t="n">
        <v>1.16</v>
      </c>
      <c r="O521" s="4" t="s">
        <v>64</v>
      </c>
      <c r="P521" s="2" t="n">
        <f aca="false">IF(K521=1,J521/G521^2,0)</f>
        <v>0</v>
      </c>
      <c r="Q521" s="2" t="n">
        <f aca="false">IF(K521=1,((E521-Result!$B$7*D521)/G521)^2,0)</f>
        <v>0</v>
      </c>
    </row>
    <row r="522" customFormat="false" ht="15" hidden="false" customHeight="false" outlineLevel="0" collapsed="false">
      <c r="A522" s="4" t="s">
        <v>37</v>
      </c>
      <c r="B522" s="4" t="s">
        <v>588</v>
      </c>
      <c r="C522" s="4" t="s">
        <v>63</v>
      </c>
      <c r="D522" s="5" t="n">
        <v>467.5046</v>
      </c>
      <c r="E522" s="5" t="n">
        <v>0.88</v>
      </c>
      <c r="F522" s="5" t="n">
        <v>0.00507755448219932</v>
      </c>
      <c r="G522" s="5" t="n">
        <v>1.2613</v>
      </c>
      <c r="H522" s="2" t="n">
        <f aca="false">D522*F522</f>
        <v>2.3737800771788</v>
      </c>
      <c r="I522" s="2" t="n">
        <f aca="false">IF(G522="","",D522*1000000/Inputs!$B$4^2*Inputs!$B$5/G522)</f>
        <v>1.88355113817713</v>
      </c>
      <c r="J522" s="2" t="n">
        <f aca="false">IF(C522="A",Inputs!$B$7,IF(C522="B",Inputs!$B$8,IF(C522="C",Inputs!$B$9,0)))</f>
        <v>1</v>
      </c>
      <c r="K522" s="2" t="n">
        <f aca="false">IF(AND(E522&lt;&gt;"",G522&lt;&gt;"",J522&gt;0),IF(I522&gt;=Inputs!$B$6,1,0),0)</f>
        <v>0</v>
      </c>
      <c r="L522" s="5" t="n">
        <v>1</v>
      </c>
      <c r="M522" s="5" t="n">
        <v>467.5035</v>
      </c>
      <c r="N522" s="5" t="n">
        <v>2.37</v>
      </c>
      <c r="O522" s="4" t="s">
        <v>64</v>
      </c>
      <c r="P522" s="2" t="n">
        <f aca="false">IF(K522=1,J522/G522^2,0)</f>
        <v>0</v>
      </c>
      <c r="Q522" s="2" t="n">
        <f aca="false">IF(K522=1,((E522-Result!$B$7*D522)/G522)^2,0)</f>
        <v>0</v>
      </c>
    </row>
    <row r="523" customFormat="false" ht="15" hidden="false" customHeight="false" outlineLevel="0" collapsed="false">
      <c r="A523" s="4" t="s">
        <v>37</v>
      </c>
      <c r="B523" s="4" t="s">
        <v>589</v>
      </c>
      <c r="C523" s="4" t="s">
        <v>63</v>
      </c>
      <c r="D523" s="5" t="n">
        <v>128.5969</v>
      </c>
      <c r="E523" s="5" t="n">
        <v>-0.03</v>
      </c>
      <c r="F523" s="5" t="n">
        <v>0.00507761614782204</v>
      </c>
      <c r="G523" s="5" t="n">
        <v>1.2613</v>
      </c>
      <c r="H523" s="2" t="n">
        <f aca="false">D523*F523</f>
        <v>0.652965695999856</v>
      </c>
      <c r="I523" s="2" t="n">
        <f aca="false">IF(G523="","",D523*1000000/Inputs!$B$4^2*Inputs!$B$5/G523)</f>
        <v>0.518110062149229</v>
      </c>
      <c r="J523" s="2" t="n">
        <f aca="false">IF(C523="A",Inputs!$B$7,IF(C523="B",Inputs!$B$8,IF(C523="C",Inputs!$B$9,0)))</f>
        <v>1</v>
      </c>
      <c r="K523" s="2" t="n">
        <f aca="false">IF(AND(E523&lt;&gt;"",G523&lt;&gt;"",J523&gt;0),IF(I523&gt;=Inputs!$B$6,1,0),0)</f>
        <v>0</v>
      </c>
      <c r="L523" s="5" t="n">
        <v>0</v>
      </c>
      <c r="M523" s="5" t="n">
        <v>128.5964</v>
      </c>
      <c r="N523" s="5" t="n">
        <v>0.65</v>
      </c>
      <c r="O523" s="4" t="s">
        <v>64</v>
      </c>
      <c r="P523" s="2" t="n">
        <f aca="false">IF(K523=1,J523/G523^2,0)</f>
        <v>0</v>
      </c>
      <c r="Q523" s="2" t="n">
        <f aca="false">IF(K523=1,((E523-Result!$B$7*D523)/G523)^2,0)</f>
        <v>0</v>
      </c>
    </row>
    <row r="524" customFormat="false" ht="15" hidden="false" customHeight="false" outlineLevel="0" collapsed="false">
      <c r="A524" s="4" t="s">
        <v>37</v>
      </c>
      <c r="B524" s="4" t="s">
        <v>590</v>
      </c>
      <c r="C524" s="4" t="s">
        <v>63</v>
      </c>
      <c r="D524" s="5" t="n">
        <v>188.7044</v>
      </c>
      <c r="E524" s="5" t="n">
        <v>1.93</v>
      </c>
      <c r="F524" s="5" t="n">
        <v>0.00507749374902385</v>
      </c>
      <c r="G524" s="5" t="n">
        <v>1.2613</v>
      </c>
      <c r="H524" s="2" t="n">
        <f aca="false">D524*F524</f>
        <v>0.958145411413296</v>
      </c>
      <c r="I524" s="2" t="n">
        <f aca="false">IF(G524="","",D524*1000000/Inputs!$B$4^2*Inputs!$B$5/G524)</f>
        <v>0.760279978847336</v>
      </c>
      <c r="J524" s="2" t="n">
        <f aca="false">IF(C524="A",Inputs!$B$7,IF(C524="B",Inputs!$B$8,IF(C524="C",Inputs!$B$9,0)))</f>
        <v>1</v>
      </c>
      <c r="K524" s="2" t="n">
        <f aca="false">IF(AND(E524&lt;&gt;"",G524&lt;&gt;"",J524&gt;0),IF(I524&gt;=Inputs!$B$6,1,0),0)</f>
        <v>0</v>
      </c>
      <c r="L524" s="5" t="n">
        <v>0</v>
      </c>
      <c r="M524" s="5" t="n">
        <v>188.7037</v>
      </c>
      <c r="N524" s="5" t="n">
        <v>0.96</v>
      </c>
      <c r="O524" s="4" t="s">
        <v>64</v>
      </c>
      <c r="P524" s="2" t="n">
        <f aca="false">IF(K524=1,J524/G524^2,0)</f>
        <v>0</v>
      </c>
      <c r="Q524" s="2" t="n">
        <f aca="false">IF(K524=1,((E524-Result!$B$7*D524)/G524)^2,0)</f>
        <v>0</v>
      </c>
    </row>
    <row r="525" customFormat="false" ht="15" hidden="false" customHeight="false" outlineLevel="0" collapsed="false">
      <c r="A525" s="4" t="s">
        <v>37</v>
      </c>
      <c r="B525" s="4" t="s">
        <v>591</v>
      </c>
      <c r="C525" s="4" t="s">
        <v>63</v>
      </c>
      <c r="D525" s="5" t="n">
        <v>394.1668</v>
      </c>
      <c r="E525" s="5" t="n">
        <v>1.62</v>
      </c>
      <c r="F525" s="5" t="n">
        <v>0.00507742873216598</v>
      </c>
      <c r="G525" s="5" t="n">
        <v>1.2613</v>
      </c>
      <c r="H525" s="2" t="n">
        <f aca="false">D525*F525</f>
        <v>2.00135383558592</v>
      </c>
      <c r="I525" s="2" t="n">
        <f aca="false">IF(G525="","",D525*1000000/Inputs!$B$4^2*Inputs!$B$5/G525)</f>
        <v>1.58807704730956</v>
      </c>
      <c r="J525" s="2" t="n">
        <f aca="false">IF(C525="A",Inputs!$B$7,IF(C525="B",Inputs!$B$8,IF(C525="C",Inputs!$B$9,0)))</f>
        <v>1</v>
      </c>
      <c r="K525" s="2" t="n">
        <f aca="false">IF(AND(E525&lt;&gt;"",G525&lt;&gt;"",J525&gt;0),IF(I525&gt;=Inputs!$B$6,1,0),0)</f>
        <v>0</v>
      </c>
      <c r="L525" s="5" t="n">
        <v>1</v>
      </c>
      <c r="M525" s="5" t="n">
        <v>394.1659</v>
      </c>
      <c r="N525" s="5" t="n">
        <v>2</v>
      </c>
      <c r="O525" s="4" t="s">
        <v>64</v>
      </c>
      <c r="P525" s="2" t="n">
        <f aca="false">IF(K525=1,J525/G525^2,0)</f>
        <v>0</v>
      </c>
      <c r="Q525" s="2" t="n">
        <f aca="false">IF(K525=1,((E525-Result!$B$7*D525)/G525)^2,0)</f>
        <v>0</v>
      </c>
    </row>
    <row r="526" customFormat="false" ht="15" hidden="false" customHeight="false" outlineLevel="0" collapsed="false">
      <c r="A526" s="4" t="s">
        <v>37</v>
      </c>
      <c r="B526" s="4" t="s">
        <v>592</v>
      </c>
      <c r="C526" s="4" t="s">
        <v>63</v>
      </c>
      <c r="D526" s="5" t="n">
        <v>205.1028</v>
      </c>
      <c r="E526" s="5" t="n">
        <v>-1.35</v>
      </c>
      <c r="F526" s="5" t="n">
        <v>0.00507736882778914</v>
      </c>
      <c r="G526" s="5" t="n">
        <v>1.2613</v>
      </c>
      <c r="H526" s="2" t="n">
        <f aca="false">D526*F526</f>
        <v>1.04138256321227</v>
      </c>
      <c r="I526" s="2" t="n">
        <f aca="false">IF(G526="","",D526*1000000/Inputs!$B$4^2*Inputs!$B$5/G526)</f>
        <v>0.826348259211388</v>
      </c>
      <c r="J526" s="2" t="n">
        <f aca="false">IF(C526="A",Inputs!$B$7,IF(C526="B",Inputs!$B$8,IF(C526="C",Inputs!$B$9,0)))</f>
        <v>1</v>
      </c>
      <c r="K526" s="2" t="n">
        <f aca="false">IF(AND(E526&lt;&gt;"",G526&lt;&gt;"",J526&gt;0),IF(I526&gt;=Inputs!$B$6,1,0),0)</f>
        <v>0</v>
      </c>
      <c r="L526" s="5" t="n">
        <v>0</v>
      </c>
      <c r="M526" s="5" t="n">
        <v>205.1023</v>
      </c>
      <c r="N526" s="5" t="n">
        <v>1.04</v>
      </c>
      <c r="O526" s="4" t="s">
        <v>64</v>
      </c>
      <c r="P526" s="2" t="n">
        <f aca="false">IF(K526=1,J526/G526^2,0)</f>
        <v>0</v>
      </c>
      <c r="Q526" s="2" t="n">
        <f aca="false">IF(K526=1,((E526-Result!$B$7*D526)/G526)^2,0)</f>
        <v>0</v>
      </c>
    </row>
    <row r="527" customFormat="false" ht="15" hidden="false" customHeight="false" outlineLevel="0" collapsed="false">
      <c r="A527" s="4" t="s">
        <v>37</v>
      </c>
      <c r="B527" s="4" t="s">
        <v>593</v>
      </c>
      <c r="C527" s="4" t="s">
        <v>81</v>
      </c>
      <c r="D527" s="5" t="n">
        <v>0.3599</v>
      </c>
      <c r="E527" s="5" t="n">
        <v>1.04</v>
      </c>
      <c r="F527" s="5" t="n">
        <v>0.0050774534745177</v>
      </c>
      <c r="G527" s="5" t="n">
        <v>1.2613</v>
      </c>
      <c r="H527" s="2" t="n">
        <f aca="false">D527*F527</f>
        <v>0.00182737550547892</v>
      </c>
      <c r="I527" s="2" t="n">
        <f aca="false">IF(G527="","",D527*1000000/Inputs!$B$4^2*Inputs!$B$5/G527)</f>
        <v>0.00145001793486085</v>
      </c>
      <c r="J527" s="2" t="n">
        <f aca="false">IF(C527="A",Inputs!$B$7,IF(C527="B",Inputs!$B$8,IF(C527="C",Inputs!$B$9,0)))</f>
        <v>0.25</v>
      </c>
      <c r="K527" s="2" t="n">
        <f aca="false">IF(AND(E527&lt;&gt;"",G527&lt;&gt;"",J527&gt;0),IF(I527&gt;=Inputs!$B$6,1,0),0)</f>
        <v>0</v>
      </c>
      <c r="L527" s="5" t="n">
        <v>0</v>
      </c>
      <c r="M527" s="5" t="n">
        <v>0.3599</v>
      </c>
      <c r="N527" s="5" t="n">
        <v>0.0018</v>
      </c>
      <c r="O527" s="4" t="s">
        <v>64</v>
      </c>
      <c r="P527" s="2" t="n">
        <f aca="false">IF(K527=1,J527/G527^2,0)</f>
        <v>0</v>
      </c>
      <c r="Q527" s="2" t="n">
        <f aca="false">IF(K527=1,((E527-Result!$B$7*D527)/G527)^2,0)</f>
        <v>0</v>
      </c>
    </row>
    <row r="528" customFormat="false" ht="15" hidden="false" customHeight="false" outlineLevel="0" collapsed="false">
      <c r="A528" s="4" t="s">
        <v>37</v>
      </c>
      <c r="B528" s="4" t="s">
        <v>594</v>
      </c>
      <c r="C528" s="4" t="s">
        <v>63</v>
      </c>
      <c r="D528" s="5" t="n">
        <v>147.3382</v>
      </c>
      <c r="E528" s="5" t="n">
        <v>0.38</v>
      </c>
      <c r="F528" s="5" t="n">
        <v>0.00507740982751299</v>
      </c>
      <c r="G528" s="5" t="n">
        <v>1.2613</v>
      </c>
      <c r="H528" s="2" t="n">
        <f aca="false">D528*F528</f>
        <v>0.748096424648074</v>
      </c>
      <c r="I528" s="2" t="n">
        <f aca="false">IF(G528="","",D528*1000000/Inputs!$B$4^2*Inputs!$B$5/G528)</f>
        <v>0.593617761850834</v>
      </c>
      <c r="J528" s="2" t="n">
        <f aca="false">IF(C528="A",Inputs!$B$7,IF(C528="B",Inputs!$B$8,IF(C528="C",Inputs!$B$9,0)))</f>
        <v>1</v>
      </c>
      <c r="K528" s="2" t="n">
        <f aca="false">IF(AND(E528&lt;&gt;"",G528&lt;&gt;"",J528&gt;0),IF(I528&gt;=Inputs!$B$6,1,0),0)</f>
        <v>0</v>
      </c>
      <c r="L528" s="5" t="n">
        <v>0</v>
      </c>
      <c r="M528" s="5" t="n">
        <v>147.3375</v>
      </c>
      <c r="N528" s="5" t="n">
        <v>0.75</v>
      </c>
      <c r="O528" s="4" t="s">
        <v>64</v>
      </c>
      <c r="P528" s="2" t="n">
        <f aca="false">IF(K528=1,J528/G528^2,0)</f>
        <v>0</v>
      </c>
      <c r="Q528" s="2" t="n">
        <f aca="false">IF(K528=1,((E528-Result!$B$7*D528)/G528)^2,0)</f>
        <v>0</v>
      </c>
    </row>
    <row r="529" customFormat="false" ht="15" hidden="false" customHeight="false" outlineLevel="0" collapsed="false">
      <c r="A529" s="4" t="s">
        <v>37</v>
      </c>
      <c r="B529" s="4" t="s">
        <v>595</v>
      </c>
      <c r="C529" s="4" t="s">
        <v>63</v>
      </c>
      <c r="D529" s="5" t="n">
        <v>135.5673</v>
      </c>
      <c r="E529" s="5" t="n">
        <v>1.48</v>
      </c>
      <c r="F529" s="5" t="n">
        <v>0.00507753471677726</v>
      </c>
      <c r="G529" s="5" t="n">
        <v>1.2613</v>
      </c>
      <c r="H529" s="2" t="n">
        <f aca="false">D529*F529</f>
        <v>0.688347672209758</v>
      </c>
      <c r="I529" s="2" t="n">
        <f aca="false">IF(G529="","",D529*1000000/Inputs!$B$4^2*Inputs!$B$5/G529)</f>
        <v>0.54619343256644</v>
      </c>
      <c r="J529" s="2" t="n">
        <f aca="false">IF(C529="A",Inputs!$B$7,IF(C529="B",Inputs!$B$8,IF(C529="C",Inputs!$B$9,0)))</f>
        <v>1</v>
      </c>
      <c r="K529" s="2" t="n">
        <f aca="false">IF(AND(E529&lt;&gt;"",G529&lt;&gt;"",J529&gt;0),IF(I529&gt;=Inputs!$B$6,1,0),0)</f>
        <v>0</v>
      </c>
      <c r="L529" s="5" t="n">
        <v>0</v>
      </c>
      <c r="M529" s="5" t="n">
        <v>135.5665</v>
      </c>
      <c r="N529" s="5" t="n">
        <v>0.69</v>
      </c>
      <c r="O529" s="4" t="s">
        <v>64</v>
      </c>
      <c r="P529" s="2" t="n">
        <f aca="false">IF(K529=1,J529/G529^2,0)</f>
        <v>0</v>
      </c>
      <c r="Q529" s="2" t="n">
        <f aca="false">IF(K529=1,((E529-Result!$B$7*D529)/G529)^2,0)</f>
        <v>0</v>
      </c>
    </row>
    <row r="530" customFormat="false" ht="15" hidden="false" customHeight="false" outlineLevel="0" collapsed="false">
      <c r="A530" s="4" t="s">
        <v>37</v>
      </c>
      <c r="B530" s="4" t="s">
        <v>596</v>
      </c>
      <c r="C530" s="4" t="s">
        <v>63</v>
      </c>
      <c r="D530" s="5" t="n">
        <v>282.5452</v>
      </c>
      <c r="E530" s="5" t="n">
        <v>0.82</v>
      </c>
      <c r="F530" s="5" t="n">
        <v>0.00507746971663384</v>
      </c>
      <c r="G530" s="5" t="n">
        <v>1.2613</v>
      </c>
      <c r="H530" s="2" t="n">
        <f aca="false">D530*F530</f>
        <v>1.43461469658025</v>
      </c>
      <c r="I530" s="2" t="n">
        <f aca="false">IF(G530="","",D530*1000000/Inputs!$B$4^2*Inputs!$B$5/G530)</f>
        <v>1.13835956490371</v>
      </c>
      <c r="J530" s="2" t="n">
        <f aca="false">IF(C530="A",Inputs!$B$7,IF(C530="B",Inputs!$B$8,IF(C530="C",Inputs!$B$9,0)))</f>
        <v>1</v>
      </c>
      <c r="K530" s="2" t="n">
        <f aca="false">IF(AND(E530&lt;&gt;"",G530&lt;&gt;"",J530&gt;0),IF(I530&gt;=Inputs!$B$6,1,0),0)</f>
        <v>0</v>
      </c>
      <c r="L530" s="5" t="n">
        <v>1</v>
      </c>
      <c r="M530" s="5" t="n">
        <v>282.544</v>
      </c>
      <c r="N530" s="5" t="n">
        <v>1.43</v>
      </c>
      <c r="O530" s="4" t="s">
        <v>64</v>
      </c>
      <c r="P530" s="2" t="n">
        <f aca="false">IF(K530=1,J530/G530^2,0)</f>
        <v>0</v>
      </c>
      <c r="Q530" s="2" t="n">
        <f aca="false">IF(K530=1,((E530-Result!$B$7*D530)/G530)^2,0)</f>
        <v>0</v>
      </c>
    </row>
    <row r="531" customFormat="false" ht="15" hidden="false" customHeight="false" outlineLevel="0" collapsed="false">
      <c r="A531" s="4" t="s">
        <v>37</v>
      </c>
      <c r="B531" s="4" t="s">
        <v>597</v>
      </c>
      <c r="C531" s="4" t="s">
        <v>63</v>
      </c>
      <c r="D531" s="5" t="n">
        <v>163.2024</v>
      </c>
      <c r="E531" s="5" t="n">
        <v>-0.97</v>
      </c>
      <c r="F531" s="5" t="n">
        <v>0.00507762002854362</v>
      </c>
      <c r="G531" s="5" t="n">
        <v>1.2613</v>
      </c>
      <c r="H531" s="2" t="n">
        <f aca="false">D531*F531</f>
        <v>0.828679774946388</v>
      </c>
      <c r="I531" s="2" t="n">
        <f aca="false">IF(G531="","",D531*1000000/Inputs!$B$4^2*Inputs!$B$5/G531)</f>
        <v>0.657533778861725</v>
      </c>
      <c r="J531" s="2" t="n">
        <f aca="false">IF(C531="A",Inputs!$B$7,IF(C531="B",Inputs!$B$8,IF(C531="C",Inputs!$B$9,0)))</f>
        <v>1</v>
      </c>
      <c r="K531" s="2" t="n">
        <f aca="false">IF(AND(E531&lt;&gt;"",G531&lt;&gt;"",J531&gt;0),IF(I531&gt;=Inputs!$B$6,1,0),0)</f>
        <v>0</v>
      </c>
      <c r="L531" s="5" t="n">
        <v>1</v>
      </c>
      <c r="M531" s="5" t="n">
        <v>163.2017</v>
      </c>
      <c r="N531" s="5" t="n">
        <v>0.83</v>
      </c>
      <c r="O531" s="4" t="s">
        <v>64</v>
      </c>
      <c r="P531" s="2" t="n">
        <f aca="false">IF(K531=1,J531/G531^2,0)</f>
        <v>0</v>
      </c>
      <c r="Q531" s="2" t="n">
        <f aca="false">IF(K531=1,((E531-Result!$B$7*D531)/G531)^2,0)</f>
        <v>0</v>
      </c>
    </row>
    <row r="532" customFormat="false" ht="15" hidden="false" customHeight="false" outlineLevel="0" collapsed="false">
      <c r="A532" s="4" t="s">
        <v>37</v>
      </c>
      <c r="B532" s="4" t="s">
        <v>598</v>
      </c>
      <c r="C532" s="4" t="s">
        <v>63</v>
      </c>
      <c r="D532" s="5" t="n">
        <v>300.3727</v>
      </c>
      <c r="E532" s="5" t="n">
        <v>2.16</v>
      </c>
      <c r="F532" s="5" t="n">
        <v>0.00507737171493064</v>
      </c>
      <c r="G532" s="5" t="n">
        <v>1.2613</v>
      </c>
      <c r="H532" s="2" t="n">
        <f aca="false">D532*F532</f>
        <v>1.52510385091735</v>
      </c>
      <c r="I532" s="2" t="n">
        <f aca="false">IF(G532="","",D532*1000000/Inputs!$B$4^2*Inputs!$B$5/G532)</f>
        <v>1.21018561306635</v>
      </c>
      <c r="J532" s="2" t="n">
        <f aca="false">IF(C532="A",Inputs!$B$7,IF(C532="B",Inputs!$B$8,IF(C532="C",Inputs!$B$9,0)))</f>
        <v>1</v>
      </c>
      <c r="K532" s="2" t="n">
        <f aca="false">IF(AND(E532&lt;&gt;"",G532&lt;&gt;"",J532&gt;0),IF(I532&gt;=Inputs!$B$6,1,0),0)</f>
        <v>0</v>
      </c>
      <c r="L532" s="5" t="n">
        <v>1</v>
      </c>
      <c r="M532" s="5" t="n">
        <v>300.3713</v>
      </c>
      <c r="N532" s="5" t="n">
        <v>1.53</v>
      </c>
      <c r="O532" s="4" t="s">
        <v>64</v>
      </c>
      <c r="P532" s="2" t="n">
        <f aca="false">IF(K532=1,J532/G532^2,0)</f>
        <v>0</v>
      </c>
      <c r="Q532" s="2" t="n">
        <f aca="false">IF(K532=1,((E532-Result!$B$7*D532)/G532)^2,0)</f>
        <v>0</v>
      </c>
    </row>
    <row r="533" customFormat="false" ht="15" hidden="false" customHeight="false" outlineLevel="0" collapsed="false">
      <c r="A533" s="4" t="s">
        <v>37</v>
      </c>
      <c r="B533" s="4" t="s">
        <v>599</v>
      </c>
      <c r="C533" s="4" t="s">
        <v>63</v>
      </c>
      <c r="D533" s="5" t="n">
        <v>211.9443</v>
      </c>
      <c r="E533" s="5" t="n">
        <v>0.59</v>
      </c>
      <c r="F533" s="5" t="n">
        <v>0.00507761449463084</v>
      </c>
      <c r="G533" s="5" t="n">
        <v>1.2613</v>
      </c>
      <c r="H533" s="2" t="n">
        <f aca="false">D533*F533</f>
        <v>1.07617144973439</v>
      </c>
      <c r="I533" s="2" t="n">
        <f aca="false">IF(G533="","",D533*1000000/Inputs!$B$4^2*Inputs!$B$5/G533)</f>
        <v>0.85391229839269</v>
      </c>
      <c r="J533" s="2" t="n">
        <f aca="false">IF(C533="A",Inputs!$B$7,IF(C533="B",Inputs!$B$8,IF(C533="C",Inputs!$B$9,0)))</f>
        <v>1</v>
      </c>
      <c r="K533" s="2" t="n">
        <f aca="false">IF(AND(E533&lt;&gt;"",G533&lt;&gt;"",J533&gt;0),IF(I533&gt;=Inputs!$B$6,1,0),0)</f>
        <v>0</v>
      </c>
      <c r="L533" s="5" t="n">
        <v>1</v>
      </c>
      <c r="M533" s="5" t="n">
        <v>211.9438</v>
      </c>
      <c r="N533" s="5" t="n">
        <v>1.08</v>
      </c>
      <c r="O533" s="4" t="s">
        <v>64</v>
      </c>
      <c r="P533" s="2" t="n">
        <f aca="false">IF(K533=1,J533/G533^2,0)</f>
        <v>0</v>
      </c>
      <c r="Q533" s="2" t="n">
        <f aca="false">IF(K533=1,((E533-Result!$B$7*D533)/G533)^2,0)</f>
        <v>0</v>
      </c>
    </row>
    <row r="534" customFormat="false" ht="15" hidden="false" customHeight="false" outlineLevel="0" collapsed="false">
      <c r="A534" s="4" t="s">
        <v>37</v>
      </c>
      <c r="B534" s="4" t="s">
        <v>600</v>
      </c>
      <c r="C534" s="4" t="s">
        <v>63</v>
      </c>
      <c r="D534" s="5" t="n">
        <v>254.4274</v>
      </c>
      <c r="E534" s="5" t="n">
        <v>0.52</v>
      </c>
      <c r="F534" s="5" t="n">
        <v>0.00507749109567173</v>
      </c>
      <c r="G534" s="5" t="n">
        <v>1.2613</v>
      </c>
      <c r="H534" s="2" t="n">
        <f aca="false">D534*F534</f>
        <v>1.29185285799491</v>
      </c>
      <c r="I534" s="2" t="n">
        <f aca="false">IF(G534="","",D534*1000000/Inputs!$B$4^2*Inputs!$B$5/G534)</f>
        <v>1.02507444601283</v>
      </c>
      <c r="J534" s="2" t="n">
        <f aca="false">IF(C534="A",Inputs!$B$7,IF(C534="B",Inputs!$B$8,IF(C534="C",Inputs!$B$9,0)))</f>
        <v>1</v>
      </c>
      <c r="K534" s="2" t="n">
        <f aca="false">IF(AND(E534&lt;&gt;"",G534&lt;&gt;"",J534&gt;0),IF(I534&gt;=Inputs!$B$6,1,0),0)</f>
        <v>0</v>
      </c>
      <c r="L534" s="5" t="n">
        <v>1</v>
      </c>
      <c r="M534" s="5" t="n">
        <v>254.4264</v>
      </c>
      <c r="N534" s="5" t="n">
        <v>1.29</v>
      </c>
      <c r="O534" s="4" t="s">
        <v>64</v>
      </c>
      <c r="P534" s="2" t="n">
        <f aca="false">IF(K534=1,J534/G534^2,0)</f>
        <v>0</v>
      </c>
      <c r="Q534" s="2" t="n">
        <f aca="false">IF(K534=1,((E534-Result!$B$7*D534)/G534)^2,0)</f>
        <v>0</v>
      </c>
    </row>
    <row r="535" customFormat="false" ht="15" hidden="false" customHeight="false" outlineLevel="0" collapsed="false">
      <c r="A535" s="4" t="s">
        <v>37</v>
      </c>
      <c r="B535" s="4" t="s">
        <v>601</v>
      </c>
      <c r="C535" s="4" t="s">
        <v>63</v>
      </c>
      <c r="D535" s="5" t="n">
        <v>168.2156</v>
      </c>
      <c r="E535" s="5" t="n">
        <v>0.19</v>
      </c>
      <c r="F535" s="5" t="n">
        <v>0.00507747437569341</v>
      </c>
      <c r="G535" s="5" t="n">
        <v>1.2613</v>
      </c>
      <c r="H535" s="2" t="n">
        <f aca="false">D535*F535</f>
        <v>0.854110398591892</v>
      </c>
      <c r="I535" s="2" t="n">
        <f aca="false">IF(G535="","",D535*1000000/Inputs!$B$4^2*Inputs!$B$5/G535)</f>
        <v>0.67773169470236</v>
      </c>
      <c r="J535" s="2" t="n">
        <f aca="false">IF(C535="A",Inputs!$B$7,IF(C535="B",Inputs!$B$8,IF(C535="C",Inputs!$B$9,0)))</f>
        <v>1</v>
      </c>
      <c r="K535" s="2" t="n">
        <f aca="false">IF(AND(E535&lt;&gt;"",G535&lt;&gt;"",J535&gt;0),IF(I535&gt;=Inputs!$B$6,1,0),0)</f>
        <v>0</v>
      </c>
      <c r="L535" s="5" t="n">
        <v>0</v>
      </c>
      <c r="M535" s="5" t="n">
        <v>168.2144</v>
      </c>
      <c r="N535" s="5" t="n">
        <v>0.85</v>
      </c>
      <c r="O535" s="4" t="s">
        <v>64</v>
      </c>
      <c r="P535" s="2" t="n">
        <f aca="false">IF(K535=1,J535/G535^2,0)</f>
        <v>0</v>
      </c>
      <c r="Q535" s="2" t="n">
        <f aca="false">IF(K535=1,((E535-Result!$B$7*D535)/G535)^2,0)</f>
        <v>0</v>
      </c>
    </row>
    <row r="536" customFormat="false" ht="15" hidden="false" customHeight="false" outlineLevel="0" collapsed="false">
      <c r="A536" s="4" t="s">
        <v>37</v>
      </c>
      <c r="B536" s="4" t="s">
        <v>602</v>
      </c>
      <c r="C536" s="4" t="s">
        <v>63</v>
      </c>
      <c r="D536" s="5" t="n">
        <v>403.4313</v>
      </c>
      <c r="E536" s="5" t="n">
        <v>2.3</v>
      </c>
      <c r="F536" s="5" t="n">
        <v>0.00507744428874367</v>
      </c>
      <c r="G536" s="5" t="n">
        <v>1.2613</v>
      </c>
      <c r="H536" s="2" t="n">
        <f aca="false">D536*F536</f>
        <v>2.04839995008543</v>
      </c>
      <c r="I536" s="2" t="n">
        <f aca="false">IF(G536="","",D536*1000000/Inputs!$B$4^2*Inputs!$B$5/G536)</f>
        <v>1.62540322446299</v>
      </c>
      <c r="J536" s="2" t="n">
        <f aca="false">IF(C536="A",Inputs!$B$7,IF(C536="B",Inputs!$B$8,IF(C536="C",Inputs!$B$9,0)))</f>
        <v>1</v>
      </c>
      <c r="K536" s="2" t="n">
        <f aca="false">IF(AND(E536&lt;&gt;"",G536&lt;&gt;"",J536&gt;0),IF(I536&gt;=Inputs!$B$6,1,0),0)</f>
        <v>0</v>
      </c>
      <c r="L536" s="5" t="n">
        <v>1</v>
      </c>
      <c r="M536" s="5" t="n">
        <v>403.4303</v>
      </c>
      <c r="N536" s="5" t="n">
        <v>2.05</v>
      </c>
      <c r="O536" s="4" t="s">
        <v>64</v>
      </c>
      <c r="P536" s="2" t="n">
        <f aca="false">IF(K536=1,J536/G536^2,0)</f>
        <v>0</v>
      </c>
      <c r="Q536" s="2" t="n">
        <f aca="false">IF(K536=1,((E536-Result!$B$7*D536)/G536)^2,0)</f>
        <v>0</v>
      </c>
    </row>
    <row r="537" customFormat="false" ht="15" hidden="false" customHeight="false" outlineLevel="0" collapsed="false">
      <c r="A537" s="4" t="s">
        <v>37</v>
      </c>
      <c r="B537" s="4" t="s">
        <v>603</v>
      </c>
      <c r="C537" s="4" t="s">
        <v>63</v>
      </c>
      <c r="D537" s="5" t="n">
        <v>150.7131</v>
      </c>
      <c r="E537" s="5" t="n">
        <v>1.77</v>
      </c>
      <c r="F537" s="5" t="n">
        <v>0.00507738945178896</v>
      </c>
      <c r="G537" s="5" t="n">
        <v>1.2613</v>
      </c>
      <c r="H537" s="2" t="n">
        <f aca="false">D537*F537</f>
        <v>0.765229104186415</v>
      </c>
      <c r="I537" s="2" t="n">
        <f aca="false">IF(G537="","",D537*1000000/Inputs!$B$4^2*Inputs!$B$5/G537)</f>
        <v>0.607215054233057</v>
      </c>
      <c r="J537" s="2" t="n">
        <f aca="false">IF(C537="A",Inputs!$B$7,IF(C537="B",Inputs!$B$8,IF(C537="C",Inputs!$B$9,0)))</f>
        <v>1</v>
      </c>
      <c r="K537" s="2" t="n">
        <f aca="false">IF(AND(E537&lt;&gt;"",G537&lt;&gt;"",J537&gt;0),IF(I537&gt;=Inputs!$B$6,1,0),0)</f>
        <v>0</v>
      </c>
      <c r="L537" s="5" t="n">
        <v>0</v>
      </c>
      <c r="M537" s="5" t="n">
        <v>150.7123</v>
      </c>
      <c r="N537" s="5" t="n">
        <v>0.77</v>
      </c>
      <c r="O537" s="4" t="s">
        <v>64</v>
      </c>
      <c r="P537" s="2" t="n">
        <f aca="false">IF(K537=1,J537/G537^2,0)</f>
        <v>0</v>
      </c>
      <c r="Q537" s="2" t="n">
        <f aca="false">IF(K537=1,((E537-Result!$B$7*D537)/G537)^2,0)</f>
        <v>0</v>
      </c>
    </row>
    <row r="538" customFormat="false" ht="15" hidden="false" customHeight="false" outlineLevel="0" collapsed="false">
      <c r="A538" s="4" t="s">
        <v>37</v>
      </c>
      <c r="B538" s="4" t="s">
        <v>604</v>
      </c>
      <c r="C538" s="4" t="s">
        <v>63</v>
      </c>
      <c r="D538" s="5" t="n">
        <v>84.5034</v>
      </c>
      <c r="E538" s="5" t="n">
        <v>0.34</v>
      </c>
      <c r="F538" s="5" t="n">
        <v>0.00507748190410938</v>
      </c>
      <c r="G538" s="5" t="n">
        <v>1.2613</v>
      </c>
      <c r="H538" s="2" t="n">
        <f aca="false">D538*F538</f>
        <v>0.429064484335716</v>
      </c>
      <c r="I538" s="2" t="n">
        <f aca="false">IF(G538="","",D538*1000000/Inputs!$B$4^2*Inputs!$B$5/G538)</f>
        <v>0.34045969868497</v>
      </c>
      <c r="J538" s="2" t="n">
        <f aca="false">IF(C538="A",Inputs!$B$7,IF(C538="B",Inputs!$B$8,IF(C538="C",Inputs!$B$9,0)))</f>
        <v>1</v>
      </c>
      <c r="K538" s="2" t="n">
        <f aca="false">IF(AND(E538&lt;&gt;"",G538&lt;&gt;"",J538&gt;0),IF(I538&gt;=Inputs!$B$6,1,0),0)</f>
        <v>0</v>
      </c>
      <c r="L538" s="5" t="n">
        <v>0</v>
      </c>
      <c r="M538" s="5" t="n">
        <v>84.5037</v>
      </c>
      <c r="N538" s="5" t="n">
        <v>0.43</v>
      </c>
      <c r="O538" s="4" t="s">
        <v>64</v>
      </c>
      <c r="P538" s="2" t="n">
        <f aca="false">IF(K538=1,J538/G538^2,0)</f>
        <v>0</v>
      </c>
      <c r="Q538" s="2" t="n">
        <f aca="false">IF(K538=1,((E538-Result!$B$7*D538)/G538)^2,0)</f>
        <v>0</v>
      </c>
    </row>
    <row r="539" customFormat="false" ht="15" hidden="false" customHeight="false" outlineLevel="0" collapsed="false">
      <c r="A539" s="4" t="s">
        <v>37</v>
      </c>
      <c r="B539" s="4" t="s">
        <v>605</v>
      </c>
      <c r="C539" s="4" t="s">
        <v>63</v>
      </c>
      <c r="D539" s="5" t="n">
        <v>668.4673</v>
      </c>
      <c r="E539" s="5" t="n">
        <v>1.73</v>
      </c>
      <c r="F539" s="5" t="n">
        <v>0.00507756562621599</v>
      </c>
      <c r="G539" s="5" t="n">
        <v>1.2613</v>
      </c>
      <c r="H539" s="2" t="n">
        <f aca="false">D539*F539</f>
        <v>3.39418658472941</v>
      </c>
      <c r="I539" s="2" t="n">
        <f aca="false">IF(G539="","",D539*1000000/Inputs!$B$4^2*Inputs!$B$5/G539)</f>
        <v>2.69321915495418</v>
      </c>
      <c r="J539" s="2" t="n">
        <f aca="false">IF(C539="A",Inputs!$B$7,IF(C539="B",Inputs!$B$8,IF(C539="C",Inputs!$B$9,0)))</f>
        <v>1</v>
      </c>
      <c r="K539" s="2" t="n">
        <f aca="false">IF(AND(E539&lt;&gt;"",G539&lt;&gt;"",J539&gt;0),IF(I539&gt;=Inputs!$B$6,1,0),0)</f>
        <v>1</v>
      </c>
      <c r="L539" s="5" t="n">
        <v>1</v>
      </c>
      <c r="M539" s="5" t="n">
        <v>668.4672</v>
      </c>
      <c r="N539" s="5" t="n">
        <v>3.39</v>
      </c>
      <c r="O539" s="4" t="s">
        <v>64</v>
      </c>
      <c r="P539" s="2" t="n">
        <f aca="false">IF(K539=1,J539/G539^2,0)</f>
        <v>0.628583835379576</v>
      </c>
      <c r="Q539" s="2" t="n">
        <f aca="false">IF(K539=1,((E539-Result!$B$7*D539)/G539)^2,0)</f>
        <v>1.70760444812863</v>
      </c>
    </row>
    <row r="540" customFormat="false" ht="15" hidden="false" customHeight="false" outlineLevel="0" collapsed="false">
      <c r="A540" s="4" t="s">
        <v>37</v>
      </c>
      <c r="B540" s="4" t="s">
        <v>606</v>
      </c>
      <c r="C540" s="4" t="s">
        <v>63</v>
      </c>
      <c r="D540" s="5" t="n">
        <v>402.4373</v>
      </c>
      <c r="E540" s="5" t="n">
        <v>1.35</v>
      </c>
      <c r="F540" s="5" t="n">
        <v>0.00507759569013283</v>
      </c>
      <c r="G540" s="5" t="n">
        <v>1.2613</v>
      </c>
      <c r="H540" s="2" t="n">
        <f aca="false">D540*F540</f>
        <v>2.04341390002869</v>
      </c>
      <c r="I540" s="2" t="n">
        <f aca="false">IF(G540="","",D540*1000000/Inputs!$B$4^2*Inputs!$B$5/G540)</f>
        <v>1.62139845139477</v>
      </c>
      <c r="J540" s="2" t="n">
        <f aca="false">IF(C540="A",Inputs!$B$7,IF(C540="B",Inputs!$B$8,IF(C540="C",Inputs!$B$9,0)))</f>
        <v>1</v>
      </c>
      <c r="K540" s="2" t="n">
        <f aca="false">IF(AND(E540&lt;&gt;"",G540&lt;&gt;"",J540&gt;0),IF(I540&gt;=Inputs!$B$6,1,0),0)</f>
        <v>0</v>
      </c>
      <c r="L540" s="5" t="n">
        <v>0</v>
      </c>
      <c r="M540" s="5" t="n">
        <v>402.4367</v>
      </c>
      <c r="N540" s="5" t="n">
        <v>2.04</v>
      </c>
      <c r="O540" s="4" t="s">
        <v>64</v>
      </c>
      <c r="P540" s="2" t="n">
        <f aca="false">IF(K540=1,J540/G540^2,0)</f>
        <v>0</v>
      </c>
      <c r="Q540" s="2" t="n">
        <f aca="false">IF(K540=1,((E540-Result!$B$7*D540)/G540)^2,0)</f>
        <v>0</v>
      </c>
    </row>
    <row r="541" customFormat="false" ht="15" hidden="false" customHeight="false" outlineLevel="0" collapsed="false">
      <c r="A541" s="4" t="s">
        <v>37</v>
      </c>
      <c r="B541" s="4" t="s">
        <v>607</v>
      </c>
      <c r="C541" s="4" t="s">
        <v>63</v>
      </c>
      <c r="D541" s="5" t="n">
        <v>350.5346</v>
      </c>
      <c r="E541" s="5" t="n">
        <v>0.72</v>
      </c>
      <c r="F541" s="5" t="n">
        <v>0.00507751083097572</v>
      </c>
      <c r="G541" s="5" t="n">
        <v>1.2613</v>
      </c>
      <c r="H541" s="2" t="n">
        <f aca="false">D541*F541</f>
        <v>1.77984322813174</v>
      </c>
      <c r="I541" s="2" t="n">
        <f aca="false">IF(G541="","",D541*1000000/Inputs!$B$4^2*Inputs!$B$5/G541)</f>
        <v>1.41228523698048</v>
      </c>
      <c r="J541" s="2" t="n">
        <f aca="false">IF(C541="A",Inputs!$B$7,IF(C541="B",Inputs!$B$8,IF(C541="C",Inputs!$B$9,0)))</f>
        <v>1</v>
      </c>
      <c r="K541" s="2" t="n">
        <f aca="false">IF(AND(E541&lt;&gt;"",G541&lt;&gt;"",J541&gt;0),IF(I541&gt;=Inputs!$B$6,1,0),0)</f>
        <v>0</v>
      </c>
      <c r="L541" s="5" t="n">
        <v>0</v>
      </c>
      <c r="M541" s="5" t="n">
        <v>350.5341</v>
      </c>
      <c r="N541" s="5" t="n">
        <v>1.78</v>
      </c>
      <c r="O541" s="4" t="s">
        <v>64</v>
      </c>
      <c r="P541" s="2" t="n">
        <f aca="false">IF(K541=1,J541/G541^2,0)</f>
        <v>0</v>
      </c>
      <c r="Q541" s="2" t="n">
        <f aca="false">IF(K541=1,((E541-Result!$B$7*D541)/G541)^2,0)</f>
        <v>0</v>
      </c>
    </row>
    <row r="542" customFormat="false" ht="15" hidden="false" customHeight="false" outlineLevel="0" collapsed="false">
      <c r="A542" s="4" t="s">
        <v>37</v>
      </c>
      <c r="B542" s="4" t="s">
        <v>608</v>
      </c>
      <c r="C542" s="4" t="s">
        <v>63</v>
      </c>
      <c r="D542" s="5" t="n">
        <v>315.2874</v>
      </c>
      <c r="E542" s="5" t="n">
        <v>0.62</v>
      </c>
      <c r="F542" s="5" t="n">
        <v>0.00507748271092178</v>
      </c>
      <c r="G542" s="5" t="n">
        <v>1.2613</v>
      </c>
      <c r="H542" s="2" t="n">
        <f aca="false">D542*F542</f>
        <v>1.60086632247148</v>
      </c>
      <c r="I542" s="2" t="n">
        <f aca="false">IF(G542="","",D542*1000000/Inputs!$B$4^2*Inputs!$B$5/G542)</f>
        <v>1.27027614513934</v>
      </c>
      <c r="J542" s="2" t="n">
        <f aca="false">IF(C542="A",Inputs!$B$7,IF(C542="B",Inputs!$B$8,IF(C542="C",Inputs!$B$9,0)))</f>
        <v>1</v>
      </c>
      <c r="K542" s="2" t="n">
        <f aca="false">IF(AND(E542&lt;&gt;"",G542&lt;&gt;"",J542&gt;0),IF(I542&gt;=Inputs!$B$6,1,0),0)</f>
        <v>0</v>
      </c>
      <c r="L542" s="5" t="n">
        <v>1</v>
      </c>
      <c r="M542" s="5" t="n">
        <v>315.2862</v>
      </c>
      <c r="N542" s="5" t="n">
        <v>1.6</v>
      </c>
      <c r="O542" s="4" t="s">
        <v>64</v>
      </c>
      <c r="P542" s="2" t="n">
        <f aca="false">IF(K542=1,J542/G542^2,0)</f>
        <v>0</v>
      </c>
      <c r="Q542" s="2" t="n">
        <f aca="false">IF(K542=1,((E542-Result!$B$7*D542)/G542)^2,0)</f>
        <v>0</v>
      </c>
    </row>
    <row r="543" customFormat="false" ht="15" hidden="false" customHeight="false" outlineLevel="0" collapsed="false">
      <c r="A543" s="4" t="s">
        <v>37</v>
      </c>
      <c r="B543" s="4" t="s">
        <v>609</v>
      </c>
      <c r="C543" s="4" t="s">
        <v>63</v>
      </c>
      <c r="D543" s="5" t="n">
        <v>422.5059</v>
      </c>
      <c r="E543" s="5" t="n">
        <v>1.21</v>
      </c>
      <c r="F543" s="5" t="n">
        <v>0.00507752648316278</v>
      </c>
      <c r="G543" s="5" t="n">
        <v>1.2613</v>
      </c>
      <c r="H543" s="2" t="n">
        <f aca="false">D543*F543</f>
        <v>2.14528489654252</v>
      </c>
      <c r="I543" s="2" t="n">
        <f aca="false">IF(G543="","",D543*1000000/Inputs!$B$4^2*Inputs!$B$5/G543)</f>
        <v>1.70225377211594</v>
      </c>
      <c r="J543" s="2" t="n">
        <f aca="false">IF(C543="A",Inputs!$B$7,IF(C543="B",Inputs!$B$8,IF(C543="C",Inputs!$B$9,0)))</f>
        <v>1</v>
      </c>
      <c r="K543" s="2" t="n">
        <f aca="false">IF(AND(E543&lt;&gt;"",G543&lt;&gt;"",J543&gt;0),IF(I543&gt;=Inputs!$B$6,1,0),0)</f>
        <v>0</v>
      </c>
      <c r="L543" s="5" t="n">
        <v>0</v>
      </c>
      <c r="M543" s="5" t="n">
        <v>422.5049</v>
      </c>
      <c r="N543" s="5" t="n">
        <v>2.15</v>
      </c>
      <c r="O543" s="4" t="s">
        <v>64</v>
      </c>
      <c r="P543" s="2" t="n">
        <f aca="false">IF(K543=1,J543/G543^2,0)</f>
        <v>0</v>
      </c>
      <c r="Q543" s="2" t="n">
        <f aca="false">IF(K543=1,((E543-Result!$B$7*D543)/G543)^2,0)</f>
        <v>0</v>
      </c>
    </row>
    <row r="544" customFormat="false" ht="15" hidden="false" customHeight="false" outlineLevel="0" collapsed="false">
      <c r="A544" s="4" t="s">
        <v>37</v>
      </c>
      <c r="B544" s="4" t="s">
        <v>610</v>
      </c>
      <c r="C544" s="4" t="s">
        <v>63</v>
      </c>
      <c r="D544" s="5" t="n">
        <v>273.6962</v>
      </c>
      <c r="E544" s="5" t="n">
        <v>0.58</v>
      </c>
      <c r="F544" s="5" t="n">
        <v>0.00507751846923667</v>
      </c>
      <c r="G544" s="5" t="n">
        <v>1.2613</v>
      </c>
      <c r="H544" s="2" t="n">
        <f aca="false">D544*F544</f>
        <v>1.38969751045989</v>
      </c>
      <c r="I544" s="2" t="n">
        <f aca="false">IF(G544="","",D544*1000000/Inputs!$B$4^2*Inputs!$B$5/G544)</f>
        <v>1.10270741512438</v>
      </c>
      <c r="J544" s="2" t="n">
        <f aca="false">IF(C544="A",Inputs!$B$7,IF(C544="B",Inputs!$B$8,IF(C544="C",Inputs!$B$9,0)))</f>
        <v>1</v>
      </c>
      <c r="K544" s="2" t="n">
        <f aca="false">IF(AND(E544&lt;&gt;"",G544&lt;&gt;"",J544&gt;0),IF(I544&gt;=Inputs!$B$6,1,0),0)</f>
        <v>0</v>
      </c>
      <c r="L544" s="5" t="n">
        <v>0</v>
      </c>
      <c r="M544" s="5" t="n">
        <v>273.695</v>
      </c>
      <c r="N544" s="5" t="n">
        <v>1.39</v>
      </c>
      <c r="O544" s="4" t="s">
        <v>64</v>
      </c>
      <c r="P544" s="2" t="n">
        <f aca="false">IF(K544=1,J544/G544^2,0)</f>
        <v>0</v>
      </c>
      <c r="Q544" s="2" t="n">
        <f aca="false">IF(K544=1,((E544-Result!$B$7*D544)/G544)^2,0)</f>
        <v>0</v>
      </c>
    </row>
    <row r="545" customFormat="false" ht="15" hidden="false" customHeight="false" outlineLevel="0" collapsed="false">
      <c r="A545" s="4" t="s">
        <v>37</v>
      </c>
      <c r="B545" s="4" t="s">
        <v>611</v>
      </c>
      <c r="C545" s="4" t="s">
        <v>63</v>
      </c>
      <c r="D545" s="5" t="n">
        <v>166.4771</v>
      </c>
      <c r="E545" s="5" t="n">
        <v>-0.01</v>
      </c>
      <c r="F545" s="5" t="n">
        <v>0.00507743072137938</v>
      </c>
      <c r="G545" s="5" t="n">
        <v>1.2613</v>
      </c>
      <c r="H545" s="2" t="n">
        <f aca="false">D545*F545</f>
        <v>0.845275941946148</v>
      </c>
      <c r="I545" s="2" t="n">
        <f aca="false">IF(G545="","",D545*1000000/Inputs!$B$4^2*Inputs!$B$5/G545)</f>
        <v>0.670727370779727</v>
      </c>
      <c r="J545" s="2" t="n">
        <f aca="false">IF(C545="A",Inputs!$B$7,IF(C545="B",Inputs!$B$8,IF(C545="C",Inputs!$B$9,0)))</f>
        <v>1</v>
      </c>
      <c r="K545" s="2" t="n">
        <f aca="false">IF(AND(E545&lt;&gt;"",G545&lt;&gt;"",J545&gt;0),IF(I545&gt;=Inputs!$B$6,1,0),0)</f>
        <v>0</v>
      </c>
      <c r="L545" s="5" t="n">
        <v>0</v>
      </c>
      <c r="M545" s="5" t="n">
        <v>166.4762</v>
      </c>
      <c r="N545" s="5" t="n">
        <v>0.85</v>
      </c>
      <c r="O545" s="4" t="s">
        <v>64</v>
      </c>
      <c r="P545" s="2" t="n">
        <f aca="false">IF(K545=1,J545/G545^2,0)</f>
        <v>0</v>
      </c>
      <c r="Q545" s="2" t="n">
        <f aca="false">IF(K545=1,((E545-Result!$B$7*D545)/G545)^2,0)</f>
        <v>0</v>
      </c>
    </row>
    <row r="546" customFormat="false" ht="15" hidden="false" customHeight="false" outlineLevel="0" collapsed="false">
      <c r="A546" s="4" t="s">
        <v>37</v>
      </c>
      <c r="B546" s="4" t="s">
        <v>612</v>
      </c>
      <c r="C546" s="4" t="s">
        <v>63</v>
      </c>
      <c r="D546" s="5" t="n">
        <v>516.2672</v>
      </c>
      <c r="E546" s="5" t="n">
        <v>0.89</v>
      </c>
      <c r="F546" s="5" t="n">
        <v>0.00507756283988839</v>
      </c>
      <c r="G546" s="5" t="n">
        <v>1.2613</v>
      </c>
      <c r="H546" s="2" t="n">
        <f aca="false">D546*F546</f>
        <v>2.62137915017323</v>
      </c>
      <c r="I546" s="2" t="n">
        <f aca="false">IF(G546="","",D546*1000000/Inputs!$B$4^2*Inputs!$B$5/G546)</f>
        <v>2.08001305690579</v>
      </c>
      <c r="J546" s="2" t="n">
        <f aca="false">IF(C546="A",Inputs!$B$7,IF(C546="B",Inputs!$B$8,IF(C546="C",Inputs!$B$9,0)))</f>
        <v>1</v>
      </c>
      <c r="K546" s="2" t="n">
        <f aca="false">IF(AND(E546&lt;&gt;"",G546&lt;&gt;"",J546&gt;0),IF(I546&gt;=Inputs!$B$6,1,0),0)</f>
        <v>1</v>
      </c>
      <c r="L546" s="5" t="n">
        <v>0</v>
      </c>
      <c r="M546" s="5" t="n">
        <v>516.2661</v>
      </c>
      <c r="N546" s="5" t="n">
        <v>2.62</v>
      </c>
      <c r="O546" s="4" t="s">
        <v>64</v>
      </c>
      <c r="P546" s="2" t="n">
        <f aca="false">IF(K546=1,J546/G546^2,0)</f>
        <v>0.628583835379576</v>
      </c>
      <c r="Q546" s="2" t="n">
        <f aca="false">IF(K546=1,((E546-Result!$B$7*D546)/G546)^2,0)</f>
        <v>1.85752746477295</v>
      </c>
    </row>
    <row r="547" customFormat="false" ht="15" hidden="false" customHeight="false" outlineLevel="0" collapsed="false">
      <c r="A547" s="4" t="s">
        <v>37</v>
      </c>
      <c r="B547" s="4" t="s">
        <v>613</v>
      </c>
      <c r="C547" s="4" t="s">
        <v>63</v>
      </c>
      <c r="D547" s="5" t="n">
        <v>258.2069</v>
      </c>
      <c r="E547" s="5" t="n">
        <v>0.79</v>
      </c>
      <c r="F547" s="5" t="n">
        <v>0.0050776065899135</v>
      </c>
      <c r="G547" s="5" t="n">
        <v>1.2613</v>
      </c>
      <c r="H547" s="2" t="n">
        <f aca="false">D547*F547</f>
        <v>1.31107305700114</v>
      </c>
      <c r="I547" s="2" t="n">
        <f aca="false">IF(G547="","",D547*1000000/Inputs!$B$4^2*Inputs!$B$5/G547)</f>
        <v>1.04030185024958</v>
      </c>
      <c r="J547" s="2" t="n">
        <f aca="false">IF(C547="A",Inputs!$B$7,IF(C547="B",Inputs!$B$8,IF(C547="C",Inputs!$B$9,0)))</f>
        <v>1</v>
      </c>
      <c r="K547" s="2" t="n">
        <f aca="false">IF(AND(E547&lt;&gt;"",G547&lt;&gt;"",J547&gt;0),IF(I547&gt;=Inputs!$B$6,1,0),0)</f>
        <v>0</v>
      </c>
      <c r="L547" s="5" t="n">
        <v>0</v>
      </c>
      <c r="M547" s="5" t="n">
        <v>258.2064</v>
      </c>
      <c r="N547" s="5" t="n">
        <v>1.31</v>
      </c>
      <c r="O547" s="4" t="s">
        <v>64</v>
      </c>
      <c r="P547" s="2" t="n">
        <f aca="false">IF(K547=1,J547/G547^2,0)</f>
        <v>0</v>
      </c>
      <c r="Q547" s="2" t="n">
        <f aca="false">IF(K547=1,((E547-Result!$B$7*D547)/G547)^2,0)</f>
        <v>0</v>
      </c>
    </row>
    <row r="548" customFormat="false" ht="15" hidden="false" customHeight="false" outlineLevel="0" collapsed="false">
      <c r="A548" s="4" t="s">
        <v>37</v>
      </c>
      <c r="B548" s="4" t="s">
        <v>614</v>
      </c>
      <c r="C548" s="4" t="s">
        <v>63</v>
      </c>
      <c r="D548" s="5" t="n">
        <v>15.6369</v>
      </c>
      <c r="E548" s="5" t="n">
        <v>0.48</v>
      </c>
      <c r="F548" s="5" t="n">
        <v>0.00507751087654468</v>
      </c>
      <c r="G548" s="5" t="n">
        <v>1.2613</v>
      </c>
      <c r="H548" s="2" t="n">
        <f aca="false">D548*F548</f>
        <v>0.0793965298254415</v>
      </c>
      <c r="I548" s="2" t="n">
        <f aca="false">IF(G548="","",D548*1000000/Inputs!$B$4^2*Inputs!$B$5/G548)</f>
        <v>0.0630002374149088</v>
      </c>
      <c r="J548" s="2" t="n">
        <f aca="false">IF(C548="A",Inputs!$B$7,IF(C548="B",Inputs!$B$8,IF(C548="C",Inputs!$B$9,0)))</f>
        <v>1</v>
      </c>
      <c r="K548" s="2" t="n">
        <f aca="false">IF(AND(E548&lt;&gt;"",G548&lt;&gt;"",J548&gt;0),IF(I548&gt;=Inputs!$B$6,1,0),0)</f>
        <v>0</v>
      </c>
      <c r="L548" s="5" t="n">
        <v>0</v>
      </c>
      <c r="M548" s="5" t="n">
        <v>15.6352</v>
      </c>
      <c r="N548" s="5" t="n">
        <v>0.08</v>
      </c>
      <c r="O548" s="4" t="s">
        <v>64</v>
      </c>
      <c r="P548" s="2" t="n">
        <f aca="false">IF(K548=1,J548/G548^2,0)</f>
        <v>0</v>
      </c>
      <c r="Q548" s="2" t="n">
        <f aca="false">IF(K548=1,((E548-Result!$B$7*D548)/G548)^2,0)</f>
        <v>0</v>
      </c>
    </row>
    <row r="549" customFormat="false" ht="15" hidden="false" customHeight="false" outlineLevel="0" collapsed="false">
      <c r="A549" s="4" t="s">
        <v>37</v>
      </c>
      <c r="B549" s="4" t="s">
        <v>615</v>
      </c>
      <c r="C549" s="4" t="s">
        <v>63</v>
      </c>
      <c r="D549" s="5" t="n">
        <v>731.2086</v>
      </c>
      <c r="E549" s="5" t="n">
        <v>4.15</v>
      </c>
      <c r="F549" s="5" t="n">
        <v>0.00507741563570923</v>
      </c>
      <c r="G549" s="5" t="n">
        <v>1.2613</v>
      </c>
      <c r="H549" s="2" t="n">
        <f aca="false">D549*F549</f>
        <v>3.71264997860506</v>
      </c>
      <c r="I549" s="2" t="n">
        <f aca="false">IF(G549="","",D549*1000000/Inputs!$B$4^2*Inputs!$B$5/G549)</f>
        <v>2.94600051159904</v>
      </c>
      <c r="J549" s="2" t="n">
        <f aca="false">IF(C549="A",Inputs!$B$7,IF(C549="B",Inputs!$B$8,IF(C549="C",Inputs!$B$9,0)))</f>
        <v>1</v>
      </c>
      <c r="K549" s="2" t="n">
        <f aca="false">IF(AND(E549&lt;&gt;"",G549&lt;&gt;"",J549&gt;0),IF(I549&gt;=Inputs!$B$6,1,0),0)</f>
        <v>1</v>
      </c>
      <c r="L549" s="5" t="n">
        <v>0</v>
      </c>
      <c r="M549" s="5" t="n">
        <v>731.2083</v>
      </c>
      <c r="N549" s="5" t="n">
        <v>3.71</v>
      </c>
      <c r="O549" s="4" t="s">
        <v>64</v>
      </c>
      <c r="P549" s="2" t="n">
        <f aca="false">IF(K549=1,J549/G549^2,0)</f>
        <v>0.628583835379576</v>
      </c>
      <c r="Q549" s="2" t="n">
        <f aca="false">IF(K549=1,((E549-Result!$B$7*D549)/G549)^2,0)</f>
        <v>0.129971647250244</v>
      </c>
    </row>
    <row r="550" customFormat="false" ht="15" hidden="false" customHeight="false" outlineLevel="0" collapsed="false">
      <c r="A550" s="4" t="s">
        <v>37</v>
      </c>
      <c r="B550" s="4" t="s">
        <v>616</v>
      </c>
      <c r="C550" s="4" t="s">
        <v>63</v>
      </c>
      <c r="D550" s="5" t="n">
        <v>492.3683</v>
      </c>
      <c r="E550" s="5" t="n">
        <v>1.62</v>
      </c>
      <c r="F550" s="5" t="n">
        <v>0.00507742323292949</v>
      </c>
      <c r="G550" s="5" t="n">
        <v>1.2613</v>
      </c>
      <c r="H550" s="2" t="n">
        <f aca="false">D550*F550</f>
        <v>2.499962245578</v>
      </c>
      <c r="I550" s="2" t="n">
        <f aca="false">IF(G550="","",D550*1000000/Inputs!$B$4^2*Inputs!$B$5/G550)</f>
        <v>1.98372566145304</v>
      </c>
      <c r="J550" s="2" t="n">
        <f aca="false">IF(C550="A",Inputs!$B$7,IF(C550="B",Inputs!$B$8,IF(C550="C",Inputs!$B$9,0)))</f>
        <v>1</v>
      </c>
      <c r="K550" s="2" t="n">
        <f aca="false">IF(AND(E550&lt;&gt;"",G550&lt;&gt;"",J550&gt;0),IF(I550&gt;=Inputs!$B$6,1,0),0)</f>
        <v>0</v>
      </c>
      <c r="L550" s="5" t="n">
        <v>1</v>
      </c>
      <c r="M550" s="5" t="n">
        <v>492.3681</v>
      </c>
      <c r="N550" s="5" t="n">
        <v>2.5</v>
      </c>
      <c r="O550" s="4" t="s">
        <v>64</v>
      </c>
      <c r="P550" s="2" t="n">
        <f aca="false">IF(K550=1,J550/G550^2,0)</f>
        <v>0</v>
      </c>
      <c r="Q550" s="2" t="n">
        <f aca="false">IF(K550=1,((E550-Result!$B$7*D550)/G550)^2,0)</f>
        <v>0</v>
      </c>
    </row>
    <row r="551" customFormat="false" ht="15" hidden="false" customHeight="false" outlineLevel="0" collapsed="false">
      <c r="A551" s="4" t="s">
        <v>37</v>
      </c>
      <c r="B551" s="4" t="s">
        <v>617</v>
      </c>
      <c r="C551" s="4" t="s">
        <v>63</v>
      </c>
      <c r="D551" s="5" t="n">
        <v>755.1055</v>
      </c>
      <c r="E551" s="5" t="n">
        <v>3.42</v>
      </c>
      <c r="F551" s="5" t="n">
        <v>0.00507751140653983</v>
      </c>
      <c r="G551" s="5" t="n">
        <v>1.2613</v>
      </c>
      <c r="H551" s="2" t="n">
        <f aca="false">D551*F551</f>
        <v>3.83405678939096</v>
      </c>
      <c r="I551" s="2" t="n">
        <f aca="false">IF(G551="","",D551*1000000/Inputs!$B$4^2*Inputs!$B$5/G551)</f>
        <v>3.0422798491583</v>
      </c>
      <c r="J551" s="2" t="n">
        <f aca="false">IF(C551="A",Inputs!$B$7,IF(C551="B",Inputs!$B$8,IF(C551="C",Inputs!$B$9,0)))</f>
        <v>1</v>
      </c>
      <c r="K551" s="2" t="n">
        <f aca="false">IF(AND(E551&lt;&gt;"",G551&lt;&gt;"",J551&gt;0),IF(I551&gt;=Inputs!$B$6,1,0),0)</f>
        <v>1</v>
      </c>
      <c r="L551" s="5" t="n">
        <v>1</v>
      </c>
      <c r="M551" s="5" t="n">
        <v>755.1064</v>
      </c>
      <c r="N551" s="5" t="n">
        <v>3.83</v>
      </c>
      <c r="O551" s="4" t="s">
        <v>64</v>
      </c>
      <c r="P551" s="2" t="n">
        <f aca="false">IF(K551=1,J551/G551^2,0)</f>
        <v>0.628583835379576</v>
      </c>
      <c r="Q551" s="2" t="n">
        <f aca="false">IF(K551=1,((E551-Result!$B$7*D551)/G551)^2,0)</f>
        <v>0.098596038586884</v>
      </c>
    </row>
    <row r="552" customFormat="false" ht="15" hidden="false" customHeight="false" outlineLevel="0" collapsed="false">
      <c r="A552" s="4" t="s">
        <v>37</v>
      </c>
      <c r="B552" s="4" t="s">
        <v>618</v>
      </c>
      <c r="C552" s="4" t="s">
        <v>63</v>
      </c>
      <c r="D552" s="5" t="n">
        <v>372.7352</v>
      </c>
      <c r="E552" s="5" t="n">
        <v>2.45</v>
      </c>
      <c r="F552" s="5" t="n">
        <v>0.0050773712241435</v>
      </c>
      <c r="G552" s="5" t="n">
        <v>1.2613</v>
      </c>
      <c r="H552" s="2" t="n">
        <f aca="false">D552*F552</f>
        <v>1.89251497870537</v>
      </c>
      <c r="I552" s="2" t="n">
        <f aca="false">IF(G552="","",D552*1000000/Inputs!$B$4^2*Inputs!$B$5/G552)</f>
        <v>1.5017302721699</v>
      </c>
      <c r="J552" s="2" t="n">
        <f aca="false">IF(C552="A",Inputs!$B$7,IF(C552="B",Inputs!$B$8,IF(C552="C",Inputs!$B$9,0)))</f>
        <v>1</v>
      </c>
      <c r="K552" s="2" t="n">
        <f aca="false">IF(AND(E552&lt;&gt;"",G552&lt;&gt;"",J552&gt;0),IF(I552&gt;=Inputs!$B$6,1,0),0)</f>
        <v>0</v>
      </c>
      <c r="L552" s="5" t="n">
        <v>0</v>
      </c>
      <c r="M552" s="5" t="n">
        <v>372.734</v>
      </c>
      <c r="N552" s="5" t="n">
        <v>1.89</v>
      </c>
      <c r="O552" s="4" t="s">
        <v>64</v>
      </c>
      <c r="P552" s="2" t="n">
        <f aca="false">IF(K552=1,J552/G552^2,0)</f>
        <v>0</v>
      </c>
      <c r="Q552" s="2" t="n">
        <f aca="false">IF(K552=1,((E552-Result!$B$7*D552)/G552)^2,0)</f>
        <v>0</v>
      </c>
    </row>
    <row r="553" customFormat="false" ht="15" hidden="false" customHeight="false" outlineLevel="0" collapsed="false">
      <c r="A553" s="4" t="s">
        <v>37</v>
      </c>
      <c r="B553" s="4" t="s">
        <v>619</v>
      </c>
      <c r="C553" s="4" t="s">
        <v>63</v>
      </c>
      <c r="D553" s="5" t="n">
        <v>154.0619</v>
      </c>
      <c r="E553" s="5" t="n">
        <v>1.41</v>
      </c>
      <c r="F553" s="5" t="n">
        <v>0.00507746702148978</v>
      </c>
      <c r="G553" s="5" t="n">
        <v>1.2613</v>
      </c>
      <c r="H553" s="2" t="n">
        <f aca="false">D553*F553</f>
        <v>0.782244216518057</v>
      </c>
      <c r="I553" s="2" t="n">
        <f aca="false">IF(G553="","",D553*1000000/Inputs!$B$4^2*Inputs!$B$5/G553)</f>
        <v>0.620707191105138</v>
      </c>
      <c r="J553" s="2" t="n">
        <f aca="false">IF(C553="A",Inputs!$B$7,IF(C553="B",Inputs!$B$8,IF(C553="C",Inputs!$B$9,0)))</f>
        <v>1</v>
      </c>
      <c r="K553" s="2" t="n">
        <f aca="false">IF(AND(E553&lt;&gt;"",G553&lt;&gt;"",J553&gt;0),IF(I553&gt;=Inputs!$B$6,1,0),0)</f>
        <v>0</v>
      </c>
      <c r="L553" s="5" t="n">
        <v>0</v>
      </c>
      <c r="M553" s="5" t="n">
        <v>154.0609</v>
      </c>
      <c r="N553" s="5" t="n">
        <v>0.78</v>
      </c>
      <c r="O553" s="4" t="s">
        <v>64</v>
      </c>
      <c r="P553" s="2" t="n">
        <f aca="false">IF(K553=1,J553/G553^2,0)</f>
        <v>0</v>
      </c>
      <c r="Q553" s="2" t="n">
        <f aca="false">IF(K553=1,((E553-Result!$B$7*D553)/G553)^2,0)</f>
        <v>0</v>
      </c>
    </row>
    <row r="554" customFormat="false" ht="15" hidden="false" customHeight="false" outlineLevel="0" collapsed="false">
      <c r="A554" s="4" t="s">
        <v>37</v>
      </c>
      <c r="B554" s="4" t="s">
        <v>620</v>
      </c>
      <c r="C554" s="4" t="s">
        <v>63</v>
      </c>
      <c r="D554" s="5" t="n">
        <v>342.84</v>
      </c>
      <c r="E554" s="5" t="n">
        <v>1.22</v>
      </c>
      <c r="F554" s="5" t="n">
        <v>0.00507745942634352</v>
      </c>
      <c r="G554" s="5" t="n">
        <v>1.2613</v>
      </c>
      <c r="H554" s="2" t="n">
        <f aca="false">D554*F554</f>
        <v>1.74075618972761</v>
      </c>
      <c r="I554" s="2" t="n">
        <f aca="false">IF(G554="","",D554*1000000/Inputs!$B$4^2*Inputs!$B$5/G554)</f>
        <v>1.38128410332785</v>
      </c>
      <c r="J554" s="2" t="n">
        <f aca="false">IF(C554="A",Inputs!$B$7,IF(C554="B",Inputs!$B$8,IF(C554="C",Inputs!$B$9,0)))</f>
        <v>1</v>
      </c>
      <c r="K554" s="2" t="n">
        <f aca="false">IF(AND(E554&lt;&gt;"",G554&lt;&gt;"",J554&gt;0),IF(I554&gt;=Inputs!$B$6,1,0),0)</f>
        <v>0</v>
      </c>
      <c r="L554" s="5" t="n">
        <v>0</v>
      </c>
      <c r="M554" s="5" t="n">
        <v>342.8391</v>
      </c>
      <c r="N554" s="5" t="n">
        <v>1.74</v>
      </c>
      <c r="O554" s="4" t="s">
        <v>64</v>
      </c>
      <c r="P554" s="2" t="n">
        <f aca="false">IF(K554=1,J554/G554^2,0)</f>
        <v>0</v>
      </c>
      <c r="Q554" s="2" t="n">
        <f aca="false">IF(K554=1,((E554-Result!$B$7*D554)/G554)^2,0)</f>
        <v>0</v>
      </c>
    </row>
    <row r="555" customFormat="false" ht="15" hidden="false" customHeight="false" outlineLevel="0" collapsed="false">
      <c r="A555" s="4" t="s">
        <v>37</v>
      </c>
      <c r="B555" s="4" t="s">
        <v>621</v>
      </c>
      <c r="C555" s="4" t="s">
        <v>63</v>
      </c>
      <c r="D555" s="5" t="n">
        <v>376.1882</v>
      </c>
      <c r="E555" s="5" t="n">
        <v>2.82</v>
      </c>
      <c r="F555" s="5" t="n">
        <v>0.00507750106305419</v>
      </c>
      <c r="G555" s="5" t="n">
        <v>1.2613</v>
      </c>
      <c r="H555" s="2" t="n">
        <f aca="false">D555*F555</f>
        <v>1.91009598540844</v>
      </c>
      <c r="I555" s="2" t="n">
        <f aca="false">IF(G555="","",D555*1000000/Inputs!$B$4^2*Inputs!$B$5/G555)</f>
        <v>1.5156422252932</v>
      </c>
      <c r="J555" s="2" t="n">
        <f aca="false">IF(C555="A",Inputs!$B$7,IF(C555="B",Inputs!$B$8,IF(C555="C",Inputs!$B$9,0)))</f>
        <v>1</v>
      </c>
      <c r="K555" s="2" t="n">
        <f aca="false">IF(AND(E555&lt;&gt;"",G555&lt;&gt;"",J555&gt;0),IF(I555&gt;=Inputs!$B$6,1,0),0)</f>
        <v>0</v>
      </c>
      <c r="L555" s="5" t="n">
        <v>1</v>
      </c>
      <c r="M555" s="5" t="n">
        <v>376.1873</v>
      </c>
      <c r="N555" s="5" t="n">
        <v>1.91</v>
      </c>
      <c r="O555" s="4" t="s">
        <v>64</v>
      </c>
      <c r="P555" s="2" t="n">
        <f aca="false">IF(K555=1,J555/G555^2,0)</f>
        <v>0</v>
      </c>
      <c r="Q555" s="2" t="n">
        <f aca="false">IF(K555=1,((E555-Result!$B$7*D555)/G555)^2,0)</f>
        <v>0</v>
      </c>
    </row>
    <row r="556" customFormat="false" ht="15" hidden="false" customHeight="false" outlineLevel="0" collapsed="false">
      <c r="A556" s="4" t="s">
        <v>37</v>
      </c>
      <c r="B556" s="4" t="s">
        <v>622</v>
      </c>
      <c r="C556" s="4" t="s">
        <v>63</v>
      </c>
      <c r="D556" s="5" t="n">
        <v>513.8354</v>
      </c>
      <c r="E556" s="5" t="n">
        <v>2.02</v>
      </c>
      <c r="F556" s="5" t="n">
        <v>0.00507738690833475</v>
      </c>
      <c r="G556" s="5" t="n">
        <v>1.2613</v>
      </c>
      <c r="H556" s="2" t="n">
        <f aca="false">D556*F556</f>
        <v>2.60894113299895</v>
      </c>
      <c r="I556" s="2" t="n">
        <f aca="false">IF(G556="","",D556*1000000/Inputs!$B$4^2*Inputs!$B$5/G556)</f>
        <v>2.07021546420228</v>
      </c>
      <c r="J556" s="2" t="n">
        <f aca="false">IF(C556="A",Inputs!$B$7,IF(C556="B",Inputs!$B$8,IF(C556="C",Inputs!$B$9,0)))</f>
        <v>1</v>
      </c>
      <c r="K556" s="2" t="n">
        <f aca="false">IF(AND(E556&lt;&gt;"",G556&lt;&gt;"",J556&gt;0),IF(I556&gt;=Inputs!$B$6,1,0),0)</f>
        <v>1</v>
      </c>
      <c r="L556" s="5" t="n">
        <v>0</v>
      </c>
      <c r="M556" s="5" t="n">
        <v>513.8344</v>
      </c>
      <c r="N556" s="5" t="n">
        <v>2.61</v>
      </c>
      <c r="O556" s="4" t="s">
        <v>64</v>
      </c>
      <c r="P556" s="2" t="n">
        <f aca="false">IF(K556=1,J556/G556^2,0)</f>
        <v>0.628583835379576</v>
      </c>
      <c r="Q556" s="2" t="n">
        <f aca="false">IF(K556=1,((E556-Result!$B$7*D556)/G556)^2,0)</f>
        <v>0.209092947213542</v>
      </c>
    </row>
    <row r="557" customFormat="false" ht="15" hidden="false" customHeight="false" outlineLevel="0" collapsed="false">
      <c r="A557" s="4" t="s">
        <v>37</v>
      </c>
      <c r="B557" s="4" t="s">
        <v>623</v>
      </c>
      <c r="C557" s="4" t="s">
        <v>63</v>
      </c>
      <c r="D557" s="5" t="n">
        <v>442.6673</v>
      </c>
      <c r="E557" s="5" t="n">
        <v>2.15</v>
      </c>
      <c r="F557" s="5" t="n">
        <v>0.00507738415587271</v>
      </c>
      <c r="G557" s="5" t="n">
        <v>1.2613</v>
      </c>
      <c r="H557" s="2" t="n">
        <f aca="false">D557*F557</f>
        <v>2.24759193534295</v>
      </c>
      <c r="I557" s="2" t="n">
        <f aca="false">IF(G557="","",D557*1000000/Inputs!$B$4^2*Inputs!$B$5/G557)</f>
        <v>1.78348297909539</v>
      </c>
      <c r="J557" s="2" t="n">
        <f aca="false">IF(C557="A",Inputs!$B$7,IF(C557="B",Inputs!$B$8,IF(C557="C",Inputs!$B$9,0)))</f>
        <v>1</v>
      </c>
      <c r="K557" s="2" t="n">
        <f aca="false">IF(AND(E557&lt;&gt;"",G557&lt;&gt;"",J557&gt;0),IF(I557&gt;=Inputs!$B$6,1,0),0)</f>
        <v>0</v>
      </c>
      <c r="L557" s="5" t="n">
        <v>0</v>
      </c>
      <c r="M557" s="5" t="n">
        <v>442.6658</v>
      </c>
      <c r="N557" s="5" t="n">
        <v>2.25</v>
      </c>
      <c r="O557" s="4" t="s">
        <v>64</v>
      </c>
      <c r="P557" s="2" t="n">
        <f aca="false">IF(K557=1,J557/G557^2,0)</f>
        <v>0</v>
      </c>
      <c r="Q557" s="2" t="n">
        <f aca="false">IF(K557=1,((E557-Result!$B$7*D557)/G557)^2,0)</f>
        <v>0</v>
      </c>
    </row>
    <row r="558" customFormat="false" ht="15" hidden="false" customHeight="false" outlineLevel="0" collapsed="false">
      <c r="A558" s="4" t="s">
        <v>37</v>
      </c>
      <c r="B558" s="4" t="s">
        <v>624</v>
      </c>
      <c r="C558" s="4" t="s">
        <v>63</v>
      </c>
      <c r="D558" s="5" t="n">
        <v>305.0198</v>
      </c>
      <c r="E558" s="5" t="n">
        <v>2.95</v>
      </c>
      <c r="F558" s="5" t="n">
        <v>0.00507752379700803</v>
      </c>
      <c r="G558" s="5" t="n">
        <v>1.2613</v>
      </c>
      <c r="H558" s="2" t="n">
        <f aca="false">D558*F558</f>
        <v>1.54874529305863</v>
      </c>
      <c r="I558" s="2" t="n">
        <f aca="false">IF(G558="","",D558*1000000/Inputs!$B$4^2*Inputs!$B$5/G558)</f>
        <v>1.22890853150228</v>
      </c>
      <c r="J558" s="2" t="n">
        <f aca="false">IF(C558="A",Inputs!$B$7,IF(C558="B",Inputs!$B$8,IF(C558="C",Inputs!$B$9,0)))</f>
        <v>1</v>
      </c>
      <c r="K558" s="2" t="n">
        <f aca="false">IF(AND(E558&lt;&gt;"",G558&lt;&gt;"",J558&gt;0),IF(I558&gt;=Inputs!$B$6,1,0),0)</f>
        <v>0</v>
      </c>
      <c r="L558" s="5" t="n">
        <v>0</v>
      </c>
      <c r="M558" s="5" t="n">
        <v>305.0187</v>
      </c>
      <c r="N558" s="5" t="n">
        <v>1.55</v>
      </c>
      <c r="O558" s="4" t="s">
        <v>64</v>
      </c>
      <c r="P558" s="2" t="n">
        <f aca="false">IF(K558=1,J558/G558^2,0)</f>
        <v>0</v>
      </c>
      <c r="Q558" s="2" t="n">
        <f aca="false">IF(K558=1,((E558-Result!$B$7*D558)/G558)^2,0)</f>
        <v>0</v>
      </c>
    </row>
    <row r="559" customFormat="false" ht="15" hidden="false" customHeight="false" outlineLevel="0" collapsed="false">
      <c r="A559" s="4" t="s">
        <v>37</v>
      </c>
      <c r="B559" s="4" t="s">
        <v>625</v>
      </c>
      <c r="C559" s="4" t="s">
        <v>63</v>
      </c>
      <c r="D559" s="5" t="n">
        <v>490.1911</v>
      </c>
      <c r="E559" s="5" t="n">
        <v>2.66</v>
      </c>
      <c r="F559" s="5" t="n">
        <v>0.00507747785726292</v>
      </c>
      <c r="G559" s="5" t="n">
        <v>1.2613</v>
      </c>
      <c r="H559" s="2" t="n">
        <f aca="false">D559*F559</f>
        <v>2.48893445607735</v>
      </c>
      <c r="I559" s="2" t="n">
        <f aca="false">IF(G559="","",D559*1000000/Inputs!$B$4^2*Inputs!$B$5/G559)</f>
        <v>1.97495383859175</v>
      </c>
      <c r="J559" s="2" t="n">
        <f aca="false">IF(C559="A",Inputs!$B$7,IF(C559="B",Inputs!$B$8,IF(C559="C",Inputs!$B$9,0)))</f>
        <v>1</v>
      </c>
      <c r="K559" s="2" t="n">
        <f aca="false">IF(AND(E559&lt;&gt;"",G559&lt;&gt;"",J559&gt;0),IF(I559&gt;=Inputs!$B$6,1,0),0)</f>
        <v>0</v>
      </c>
      <c r="L559" s="5" t="n">
        <v>0</v>
      </c>
      <c r="M559" s="5" t="n">
        <v>490.1899</v>
      </c>
      <c r="N559" s="5" t="n">
        <v>2.49</v>
      </c>
      <c r="O559" s="4" t="s">
        <v>64</v>
      </c>
      <c r="P559" s="2" t="n">
        <f aca="false">IF(K559=1,J559/G559^2,0)</f>
        <v>0</v>
      </c>
      <c r="Q559" s="2" t="n">
        <f aca="false">IF(K559=1,((E559-Result!$B$7*D559)/G559)^2,0)</f>
        <v>0</v>
      </c>
    </row>
    <row r="560" customFormat="false" ht="15" hidden="false" customHeight="false" outlineLevel="0" collapsed="false">
      <c r="A560" s="4" t="s">
        <v>37</v>
      </c>
      <c r="B560" s="4" t="s">
        <v>626</v>
      </c>
      <c r="C560" s="4" t="s">
        <v>63</v>
      </c>
      <c r="D560" s="5" t="n">
        <v>756.4136</v>
      </c>
      <c r="E560" s="5" t="n">
        <v>3.86</v>
      </c>
      <c r="F560" s="5" t="n">
        <v>0.00507745511674654</v>
      </c>
      <c r="G560" s="5" t="n">
        <v>1.2613</v>
      </c>
      <c r="H560" s="2" t="n">
        <f aca="false">D560*F560</f>
        <v>3.84065610369667</v>
      </c>
      <c r="I560" s="2" t="n">
        <f aca="false">IF(G560="","",D560*1000000/Inputs!$B$4^2*Inputs!$B$5/G560)</f>
        <v>3.04755011440029</v>
      </c>
      <c r="J560" s="2" t="n">
        <f aca="false">IF(C560="A",Inputs!$B$7,IF(C560="B",Inputs!$B$8,IF(C560="C",Inputs!$B$9,0)))</f>
        <v>1</v>
      </c>
      <c r="K560" s="2" t="n">
        <f aca="false">IF(AND(E560&lt;&gt;"",G560&lt;&gt;"",J560&gt;0),IF(I560&gt;=Inputs!$B$6,1,0),0)</f>
        <v>1</v>
      </c>
      <c r="L560" s="5" t="n">
        <v>1</v>
      </c>
      <c r="M560" s="5" t="n">
        <v>756.4134</v>
      </c>
      <c r="N560" s="5" t="n">
        <v>3.84</v>
      </c>
      <c r="O560" s="4" t="s">
        <v>64</v>
      </c>
      <c r="P560" s="2" t="n">
        <f aca="false">IF(K560=1,J560/G560^2,0)</f>
        <v>0.628583835379576</v>
      </c>
      <c r="Q560" s="2" t="n">
        <f aca="false">IF(K560=1,((E560-Result!$B$7*D560)/G560)^2,0)</f>
        <v>0.000876467301272369</v>
      </c>
    </row>
    <row r="561" customFormat="false" ht="15" hidden="false" customHeight="false" outlineLevel="0" collapsed="false">
      <c r="A561" s="4" t="s">
        <v>37</v>
      </c>
      <c r="B561" s="4" t="s">
        <v>627</v>
      </c>
      <c r="C561" s="4" t="s">
        <v>63</v>
      </c>
      <c r="D561" s="5" t="n">
        <v>176.4426</v>
      </c>
      <c r="E561" s="5" t="n">
        <v>0.95</v>
      </c>
      <c r="F561" s="5" t="n">
        <v>0.00507734092941212</v>
      </c>
      <c r="G561" s="5" t="n">
        <v>1.2613</v>
      </c>
      <c r="H561" s="2" t="n">
        <f aca="false">D561*F561</f>
        <v>0.895859234671891</v>
      </c>
      <c r="I561" s="2" t="n">
        <f aca="false">IF(G561="","",D561*1000000/Inputs!$B$4^2*Inputs!$B$5/G561)</f>
        <v>0.710877839604</v>
      </c>
      <c r="J561" s="2" t="n">
        <f aca="false">IF(C561="A",Inputs!$B$7,IF(C561="B",Inputs!$B$8,IF(C561="C",Inputs!$B$9,0)))</f>
        <v>1</v>
      </c>
      <c r="K561" s="2" t="n">
        <f aca="false">IF(AND(E561&lt;&gt;"",G561&lt;&gt;"",J561&gt;0),IF(I561&gt;=Inputs!$B$6,1,0),0)</f>
        <v>0</v>
      </c>
      <c r="L561" s="5" t="n">
        <v>1</v>
      </c>
      <c r="M561" s="5" t="n">
        <v>176.4423</v>
      </c>
      <c r="N561" s="5" t="n">
        <v>0.9</v>
      </c>
      <c r="O561" s="4" t="s">
        <v>64</v>
      </c>
      <c r="P561" s="2" t="n">
        <f aca="false">IF(K561=1,J561/G561^2,0)</f>
        <v>0</v>
      </c>
      <c r="Q561" s="2" t="n">
        <f aca="false">IF(K561=1,((E561-Result!$B$7*D561)/G561)^2,0)</f>
        <v>0</v>
      </c>
    </row>
    <row r="562" customFormat="false" ht="15" hidden="false" customHeight="false" outlineLevel="0" collapsed="false">
      <c r="A562" s="4" t="s">
        <v>37</v>
      </c>
      <c r="B562" s="4" t="s">
        <v>628</v>
      </c>
      <c r="C562" s="4" t="s">
        <v>63</v>
      </c>
      <c r="D562" s="5" t="n">
        <v>262.4098</v>
      </c>
      <c r="E562" s="5" t="n">
        <v>2.79</v>
      </c>
      <c r="F562" s="5" t="n">
        <v>0.00507753836139261</v>
      </c>
      <c r="G562" s="5" t="n">
        <v>1.2613</v>
      </c>
      <c r="H562" s="2" t="n">
        <f aca="false">D562*F562</f>
        <v>1.33239582590536</v>
      </c>
      <c r="I562" s="2" t="n">
        <f aca="false">IF(G562="","",D562*1000000/Inputs!$B$4^2*Inputs!$B$5/G562)</f>
        <v>1.05723511053973</v>
      </c>
      <c r="J562" s="2" t="n">
        <f aca="false">IF(C562="A",Inputs!$B$7,IF(C562="B",Inputs!$B$8,IF(C562="C",Inputs!$B$9,0)))</f>
        <v>1</v>
      </c>
      <c r="K562" s="2" t="n">
        <f aca="false">IF(AND(E562&lt;&gt;"",G562&lt;&gt;"",J562&gt;0),IF(I562&gt;=Inputs!$B$6,1,0),0)</f>
        <v>0</v>
      </c>
      <c r="L562" s="5" t="n">
        <v>0</v>
      </c>
      <c r="M562" s="5" t="n">
        <v>262.4086</v>
      </c>
      <c r="N562" s="5" t="n">
        <v>1.33</v>
      </c>
      <c r="O562" s="4" t="s">
        <v>64</v>
      </c>
      <c r="P562" s="2" t="n">
        <f aca="false">IF(K562=1,J562/G562^2,0)</f>
        <v>0</v>
      </c>
      <c r="Q562" s="2" t="n">
        <f aca="false">IF(K562=1,((E562-Result!$B$7*D562)/G562)^2,0)</f>
        <v>0</v>
      </c>
    </row>
    <row r="563" customFormat="false" ht="15" hidden="false" customHeight="false" outlineLevel="0" collapsed="false">
      <c r="A563" s="4" t="s">
        <v>37</v>
      </c>
      <c r="B563" s="4" t="s">
        <v>629</v>
      </c>
      <c r="C563" s="4" t="s">
        <v>63</v>
      </c>
      <c r="D563" s="5" t="n">
        <v>401.838</v>
      </c>
      <c r="E563" s="5" t="n">
        <v>0.42</v>
      </c>
      <c r="F563" s="5" t="n">
        <v>0.00507749517646856</v>
      </c>
      <c r="G563" s="5" t="n">
        <v>1.2613</v>
      </c>
      <c r="H563" s="2" t="n">
        <f aca="false">D563*F563</f>
        <v>2.04033050672177</v>
      </c>
      <c r="I563" s="2" t="n">
        <f aca="false">IF(G563="","",D563*1000000/Inputs!$B$4^2*Inputs!$B$5/G563)</f>
        <v>1.61898390360827</v>
      </c>
      <c r="J563" s="2" t="n">
        <f aca="false">IF(C563="A",Inputs!$B$7,IF(C563="B",Inputs!$B$8,IF(C563="C",Inputs!$B$9,0)))</f>
        <v>1</v>
      </c>
      <c r="K563" s="2" t="n">
        <f aca="false">IF(AND(E563&lt;&gt;"",G563&lt;&gt;"",J563&gt;0),IF(I563&gt;=Inputs!$B$6,1,0),0)</f>
        <v>0</v>
      </c>
      <c r="L563" s="5" t="n">
        <v>0</v>
      </c>
      <c r="M563" s="5" t="n">
        <v>401.8371</v>
      </c>
      <c r="N563" s="5" t="n">
        <v>2.04</v>
      </c>
      <c r="O563" s="4" t="s">
        <v>64</v>
      </c>
      <c r="P563" s="2" t="n">
        <f aca="false">IF(K563=1,J563/G563^2,0)</f>
        <v>0</v>
      </c>
      <c r="Q563" s="2" t="n">
        <f aca="false">IF(K563=1,((E563-Result!$B$7*D563)/G563)^2,0)</f>
        <v>0</v>
      </c>
    </row>
    <row r="564" customFormat="false" ht="15" hidden="false" customHeight="false" outlineLevel="0" collapsed="false">
      <c r="A564" s="4" t="s">
        <v>37</v>
      </c>
      <c r="B564" s="4" t="s">
        <v>630</v>
      </c>
      <c r="C564" s="4" t="s">
        <v>63</v>
      </c>
      <c r="D564" s="5" t="n">
        <v>174.0565</v>
      </c>
      <c r="E564" s="5" t="n">
        <v>0.55</v>
      </c>
      <c r="F564" s="5" t="n">
        <v>0.00507760925349286</v>
      </c>
      <c r="G564" s="5" t="n">
        <v>1.2613</v>
      </c>
      <c r="H564" s="2" t="n">
        <f aca="false">D564*F564</f>
        <v>0.883790895030581</v>
      </c>
      <c r="I564" s="2" t="n">
        <f aca="false">IF(G564="","",D564*1000000/Inputs!$B$4^2*Inputs!$B$5/G564)</f>
        <v>0.701264369766902</v>
      </c>
      <c r="J564" s="2" t="n">
        <f aca="false">IF(C564="A",Inputs!$B$7,IF(C564="B",Inputs!$B$8,IF(C564="C",Inputs!$B$9,0)))</f>
        <v>1</v>
      </c>
      <c r="K564" s="2" t="n">
        <f aca="false">IF(AND(E564&lt;&gt;"",G564&lt;&gt;"",J564&gt;0),IF(I564&gt;=Inputs!$B$6,1,0),0)</f>
        <v>0</v>
      </c>
      <c r="L564" s="5" t="n">
        <v>0</v>
      </c>
      <c r="M564" s="5" t="n">
        <v>174.0559</v>
      </c>
      <c r="N564" s="5" t="n">
        <v>0.88</v>
      </c>
      <c r="O564" s="4" t="s">
        <v>64</v>
      </c>
      <c r="P564" s="2" t="n">
        <f aca="false">IF(K564=1,J564/G564^2,0)</f>
        <v>0</v>
      </c>
      <c r="Q564" s="2" t="n">
        <f aca="false">IF(K564=1,((E564-Result!$B$7*D564)/G564)^2,0)</f>
        <v>0</v>
      </c>
    </row>
    <row r="565" customFormat="false" ht="15" hidden="false" customHeight="false" outlineLevel="0" collapsed="false">
      <c r="A565" s="4" t="s">
        <v>37</v>
      </c>
      <c r="B565" s="4" t="s">
        <v>631</v>
      </c>
      <c r="C565" s="4" t="s">
        <v>63</v>
      </c>
      <c r="D565" s="5" t="n">
        <v>532.5332</v>
      </c>
      <c r="E565" s="5" t="n">
        <v>2.82</v>
      </c>
      <c r="F565" s="5" t="n">
        <v>0.00507766797349432</v>
      </c>
      <c r="G565" s="5" t="n">
        <v>1.2613</v>
      </c>
      <c r="H565" s="2" t="n">
        <f aca="false">D565*F565</f>
        <v>2.70402677446244</v>
      </c>
      <c r="I565" s="2" t="n">
        <f aca="false">IF(G565="","",D565*1000000/Inputs!$B$4^2*Inputs!$B$5/G565)</f>
        <v>2.14554790472031</v>
      </c>
      <c r="J565" s="2" t="n">
        <f aca="false">IF(C565="A",Inputs!$B$7,IF(C565="B",Inputs!$B$8,IF(C565="C",Inputs!$B$9,0)))</f>
        <v>1</v>
      </c>
      <c r="K565" s="2" t="n">
        <f aca="false">IF(AND(E565&lt;&gt;"",G565&lt;&gt;"",J565&gt;0),IF(I565&gt;=Inputs!$B$6,1,0),0)</f>
        <v>1</v>
      </c>
      <c r="L565" s="5" t="n">
        <v>1</v>
      </c>
      <c r="M565" s="5" t="n">
        <v>532.5321</v>
      </c>
      <c r="N565" s="5" t="n">
        <v>2.7</v>
      </c>
      <c r="O565" s="4" t="s">
        <v>64</v>
      </c>
      <c r="P565" s="2" t="n">
        <f aca="false">IF(K565=1,J565/G565^2,0)</f>
        <v>0.628583835379576</v>
      </c>
      <c r="Q565" s="2" t="n">
        <f aca="false">IF(K565=1,((E565-Result!$B$7*D565)/G565)^2,0)</f>
        <v>0.010420890264331</v>
      </c>
    </row>
    <row r="566" customFormat="false" ht="15" hidden="false" customHeight="false" outlineLevel="0" collapsed="false">
      <c r="A566" s="4" t="s">
        <v>37</v>
      </c>
      <c r="B566" s="4" t="s">
        <v>632</v>
      </c>
      <c r="C566" s="4" t="s">
        <v>63</v>
      </c>
      <c r="D566" s="5" t="n">
        <v>265.9517</v>
      </c>
      <c r="E566" s="5" t="n">
        <v>0.08</v>
      </c>
      <c r="F566" s="5" t="n">
        <v>0.00507768527173037</v>
      </c>
      <c r="G566" s="5" t="n">
        <v>1.2613</v>
      </c>
      <c r="H566" s="2" t="n">
        <f aca="false">D566*F566</f>
        <v>1.35041903008165</v>
      </c>
      <c r="I566" s="2" t="n">
        <f aca="false">IF(G566="","",D566*1000000/Inputs!$B$4^2*Inputs!$B$5/G566)</f>
        <v>1.07150523702899</v>
      </c>
      <c r="J566" s="2" t="n">
        <f aca="false">IF(C566="A",Inputs!$B$7,IF(C566="B",Inputs!$B$8,IF(C566="C",Inputs!$B$9,0)))</f>
        <v>1</v>
      </c>
      <c r="K566" s="2" t="n">
        <f aca="false">IF(AND(E566&lt;&gt;"",G566&lt;&gt;"",J566&gt;0),IF(I566&gt;=Inputs!$B$6,1,0),0)</f>
        <v>0</v>
      </c>
      <c r="L566" s="5" t="n">
        <v>0</v>
      </c>
      <c r="M566" s="5" t="n">
        <v>265.9509</v>
      </c>
      <c r="N566" s="5" t="n">
        <v>1.35</v>
      </c>
      <c r="O566" s="4" t="s">
        <v>64</v>
      </c>
      <c r="P566" s="2" t="n">
        <f aca="false">IF(K566=1,J566/G566^2,0)</f>
        <v>0</v>
      </c>
      <c r="Q566" s="2" t="n">
        <f aca="false">IF(K566=1,((E566-Result!$B$7*D566)/G566)^2,0)</f>
        <v>0</v>
      </c>
    </row>
    <row r="567" customFormat="false" ht="15" hidden="false" customHeight="false" outlineLevel="0" collapsed="false">
      <c r="A567" s="4" t="s">
        <v>37</v>
      </c>
      <c r="B567" s="4" t="s">
        <v>633</v>
      </c>
      <c r="C567" s="4" t="s">
        <v>63</v>
      </c>
      <c r="D567" s="5" t="n">
        <v>92.5257</v>
      </c>
      <c r="E567" s="5" t="n">
        <v>2.19</v>
      </c>
      <c r="F567" s="5" t="n">
        <v>0.00507772840413341</v>
      </c>
      <c r="G567" s="5" t="n">
        <v>1.2613</v>
      </c>
      <c r="H567" s="2" t="n">
        <f aca="false">D567*F567</f>
        <v>0.469820375002327</v>
      </c>
      <c r="I567" s="2" t="n">
        <f aca="false">IF(G567="","",D567*1000000/Inputs!$B$4^2*Inputs!$B$5/G567)</f>
        <v>0.372781118187149</v>
      </c>
      <c r="J567" s="2" t="n">
        <f aca="false">IF(C567="A",Inputs!$B$7,IF(C567="B",Inputs!$B$8,IF(C567="C",Inputs!$B$9,0)))</f>
        <v>1</v>
      </c>
      <c r="K567" s="2" t="n">
        <f aca="false">IF(AND(E567&lt;&gt;"",G567&lt;&gt;"",J567&gt;0),IF(I567&gt;=Inputs!$B$6,1,0),0)</f>
        <v>0</v>
      </c>
      <c r="L567" s="5" t="n">
        <v>0</v>
      </c>
      <c r="M567" s="5" t="n">
        <v>92.5253</v>
      </c>
      <c r="N567" s="5" t="n">
        <v>0.47</v>
      </c>
      <c r="O567" s="4" t="s">
        <v>64</v>
      </c>
      <c r="P567" s="2" t="n">
        <f aca="false">IF(K567=1,J567/G567^2,0)</f>
        <v>0</v>
      </c>
      <c r="Q567" s="2" t="n">
        <f aca="false">IF(K567=1,((E567-Result!$B$7*D567)/G567)^2,0)</f>
        <v>0</v>
      </c>
    </row>
    <row r="568" customFormat="false" ht="15" hidden="false" customHeight="false" outlineLevel="0" collapsed="false">
      <c r="A568" s="4" t="s">
        <v>37</v>
      </c>
      <c r="B568" s="4" t="s">
        <v>634</v>
      </c>
      <c r="C568" s="4" t="s">
        <v>63</v>
      </c>
      <c r="D568" s="5" t="n">
        <v>285.6361</v>
      </c>
      <c r="E568" s="5" t="n">
        <v>-0.46</v>
      </c>
      <c r="F568" s="5" t="n">
        <v>0.00507765124628474</v>
      </c>
      <c r="G568" s="5" t="n">
        <v>1.2613</v>
      </c>
      <c r="H568" s="2" t="n">
        <f aca="false">D568*F568</f>
        <v>1.45036049914891</v>
      </c>
      <c r="I568" s="2" t="n">
        <f aca="false">IF(G568="","",D568*1000000/Inputs!$B$4^2*Inputs!$B$5/G568)</f>
        <v>1.1508126364093</v>
      </c>
      <c r="J568" s="2" t="n">
        <f aca="false">IF(C568="A",Inputs!$B$7,IF(C568="B",Inputs!$B$8,IF(C568="C",Inputs!$B$9,0)))</f>
        <v>1</v>
      </c>
      <c r="K568" s="2" t="n">
        <f aca="false">IF(AND(E568&lt;&gt;"",G568&lt;&gt;"",J568&gt;0),IF(I568&gt;=Inputs!$B$6,1,0),0)</f>
        <v>0</v>
      </c>
      <c r="L568" s="5" t="n">
        <v>1</v>
      </c>
      <c r="M568" s="5" t="n">
        <v>285.6352</v>
      </c>
      <c r="N568" s="5" t="n">
        <v>1.45</v>
      </c>
      <c r="O568" s="4" t="s">
        <v>64</v>
      </c>
      <c r="P568" s="2" t="n">
        <f aca="false">IF(K568=1,J568/G568^2,0)</f>
        <v>0</v>
      </c>
      <c r="Q568" s="2" t="n">
        <f aca="false">IF(K568=1,((E568-Result!$B$7*D568)/G568)^2,0)</f>
        <v>0</v>
      </c>
    </row>
    <row r="569" customFormat="false" ht="15" hidden="false" customHeight="false" outlineLevel="0" collapsed="false">
      <c r="A569" s="4" t="s">
        <v>37</v>
      </c>
      <c r="B569" s="4" t="s">
        <v>635</v>
      </c>
      <c r="C569" s="4" t="s">
        <v>63</v>
      </c>
      <c r="D569" s="5" t="n">
        <v>203.573</v>
      </c>
      <c r="E569" s="5" t="n">
        <v>-0.8</v>
      </c>
      <c r="F569" s="5" t="n">
        <v>0.00507759251997522</v>
      </c>
      <c r="G569" s="5" t="n">
        <v>1.2613</v>
      </c>
      <c r="H569" s="2" t="n">
        <f aca="false">D569*F569</f>
        <v>1.03366074206892</v>
      </c>
      <c r="I569" s="2" t="n">
        <f aca="false">IF(G569="","",D569*1000000/Inputs!$B$4^2*Inputs!$B$5/G569)</f>
        <v>0.820184776475211</v>
      </c>
      <c r="J569" s="2" t="n">
        <f aca="false">IF(C569="A",Inputs!$B$7,IF(C569="B",Inputs!$B$8,IF(C569="C",Inputs!$B$9,0)))</f>
        <v>1</v>
      </c>
      <c r="K569" s="2" t="n">
        <f aca="false">IF(AND(E569&lt;&gt;"",G569&lt;&gt;"",J569&gt;0),IF(I569&gt;=Inputs!$B$6,1,0),0)</f>
        <v>0</v>
      </c>
      <c r="L569" s="5" t="n">
        <v>0</v>
      </c>
      <c r="M569" s="5" t="n">
        <v>203.5724</v>
      </c>
      <c r="N569" s="5" t="n">
        <v>1.03</v>
      </c>
      <c r="O569" s="4" t="s">
        <v>64</v>
      </c>
      <c r="P569" s="2" t="n">
        <f aca="false">IF(K569=1,J569/G569^2,0)</f>
        <v>0</v>
      </c>
      <c r="Q569" s="2" t="n">
        <f aca="false">IF(K569=1,((E569-Result!$B$7*D569)/G569)^2,0)</f>
        <v>0</v>
      </c>
    </row>
    <row r="570" customFormat="false" ht="15" hidden="false" customHeight="false" outlineLevel="0" collapsed="false">
      <c r="A570" s="4" t="s">
        <v>37</v>
      </c>
      <c r="B570" s="4" t="s">
        <v>636</v>
      </c>
      <c r="C570" s="4" t="s">
        <v>63</v>
      </c>
      <c r="D570" s="5" t="n">
        <v>348.0148</v>
      </c>
      <c r="E570" s="5" t="n">
        <v>0.42</v>
      </c>
      <c r="F570" s="5" t="n">
        <v>0.00507771168347261</v>
      </c>
      <c r="G570" s="5" t="n">
        <v>1.2613</v>
      </c>
      <c r="H570" s="2" t="n">
        <f aca="false">D570*F570</f>
        <v>1.76711881598138</v>
      </c>
      <c r="I570" s="2" t="n">
        <f aca="false">IF(G570="","",D570*1000000/Inputs!$B$4^2*Inputs!$B$5/G570)</f>
        <v>1.40213309696308</v>
      </c>
      <c r="J570" s="2" t="n">
        <f aca="false">IF(C570="A",Inputs!$B$7,IF(C570="B",Inputs!$B$8,IF(C570="C",Inputs!$B$9,0)))</f>
        <v>1</v>
      </c>
      <c r="K570" s="2" t="n">
        <f aca="false">IF(AND(E570&lt;&gt;"",G570&lt;&gt;"",J570&gt;0),IF(I570&gt;=Inputs!$B$6,1,0),0)</f>
        <v>0</v>
      </c>
      <c r="L570" s="5" t="n">
        <v>0</v>
      </c>
      <c r="M570" s="5" t="n">
        <v>348.0137</v>
      </c>
      <c r="N570" s="5" t="n">
        <v>1.77</v>
      </c>
      <c r="O570" s="4" t="s">
        <v>64</v>
      </c>
      <c r="P570" s="2" t="n">
        <f aca="false">IF(K570=1,J570/G570^2,0)</f>
        <v>0</v>
      </c>
      <c r="Q570" s="2" t="n">
        <f aca="false">IF(K570=1,((E570-Result!$B$7*D570)/G570)^2,0)</f>
        <v>0</v>
      </c>
    </row>
    <row r="571" customFormat="false" ht="15" hidden="false" customHeight="false" outlineLevel="0" collapsed="false">
      <c r="A571" s="4" t="s">
        <v>37</v>
      </c>
      <c r="B571" s="4" t="s">
        <v>637</v>
      </c>
      <c r="C571" s="4" t="s">
        <v>63</v>
      </c>
      <c r="D571" s="5" t="n">
        <v>410.745</v>
      </c>
      <c r="E571" s="5" t="n">
        <v>4.31</v>
      </c>
      <c r="F571" s="5" t="n">
        <v>0.00507780178887009</v>
      </c>
      <c r="G571" s="5" t="n">
        <v>1.2613</v>
      </c>
      <c r="H571" s="2" t="n">
        <f aca="false">D571*F571</f>
        <v>2.08568169576945</v>
      </c>
      <c r="I571" s="2" t="n">
        <f aca="false">IF(G571="","",D571*1000000/Inputs!$B$4^2*Inputs!$B$5/G571)</f>
        <v>1.65486973229903</v>
      </c>
      <c r="J571" s="2" t="n">
        <f aca="false">IF(C571="A",Inputs!$B$7,IF(C571="B",Inputs!$B$8,IF(C571="C",Inputs!$B$9,0)))</f>
        <v>1</v>
      </c>
      <c r="K571" s="2" t="n">
        <f aca="false">IF(AND(E571&lt;&gt;"",G571&lt;&gt;"",J571&gt;0),IF(I571&gt;=Inputs!$B$6,1,0),0)</f>
        <v>0</v>
      </c>
      <c r="L571" s="5" t="n">
        <v>0</v>
      </c>
      <c r="M571" s="5" t="n">
        <v>410.7441</v>
      </c>
      <c r="N571" s="5" t="n">
        <v>2.09</v>
      </c>
      <c r="O571" s="4" t="s">
        <v>64</v>
      </c>
      <c r="P571" s="2" t="n">
        <f aca="false">IF(K571=1,J571/G571^2,0)</f>
        <v>0</v>
      </c>
      <c r="Q571" s="2" t="n">
        <f aca="false">IF(K571=1,((E571-Result!$B$7*D571)/G571)^2,0)</f>
        <v>0</v>
      </c>
    </row>
    <row r="572" customFormat="false" ht="15" hidden="false" customHeight="false" outlineLevel="0" collapsed="false">
      <c r="A572" s="4" t="s">
        <v>37</v>
      </c>
      <c r="B572" s="4" t="s">
        <v>638</v>
      </c>
      <c r="C572" s="4" t="s">
        <v>63</v>
      </c>
      <c r="D572" s="5" t="n">
        <v>430.7702</v>
      </c>
      <c r="E572" s="5" t="n">
        <v>2.25</v>
      </c>
      <c r="F572" s="5" t="n">
        <v>0.00507777539267122</v>
      </c>
      <c r="G572" s="5" t="n">
        <v>1.2613</v>
      </c>
      <c r="H572" s="2" t="n">
        <f aca="false">D572*F572</f>
        <v>2.18735432145606</v>
      </c>
      <c r="I572" s="2" t="n">
        <f aca="false">IF(G572="","",D572*1000000/Inputs!$B$4^2*Inputs!$B$5/G572)</f>
        <v>1.7355501967313</v>
      </c>
      <c r="J572" s="2" t="n">
        <f aca="false">IF(C572="A",Inputs!$B$7,IF(C572="B",Inputs!$B$8,IF(C572="C",Inputs!$B$9,0)))</f>
        <v>1</v>
      </c>
      <c r="K572" s="2" t="n">
        <f aca="false">IF(AND(E572&lt;&gt;"",G572&lt;&gt;"",J572&gt;0),IF(I572&gt;=Inputs!$B$6,1,0),0)</f>
        <v>0</v>
      </c>
      <c r="L572" s="5" t="n">
        <v>0</v>
      </c>
      <c r="M572" s="5" t="n">
        <v>430.7694</v>
      </c>
      <c r="N572" s="5" t="n">
        <v>2.19</v>
      </c>
      <c r="O572" s="4" t="s">
        <v>64</v>
      </c>
      <c r="P572" s="2" t="n">
        <f aca="false">IF(K572=1,J572/G572^2,0)</f>
        <v>0</v>
      </c>
      <c r="Q572" s="2" t="n">
        <f aca="false">IF(K572=1,((E572-Result!$B$7*D572)/G572)^2,0)</f>
        <v>0</v>
      </c>
    </row>
    <row r="573" customFormat="false" ht="15" hidden="false" customHeight="false" outlineLevel="0" collapsed="false">
      <c r="A573" s="4" t="s">
        <v>37</v>
      </c>
      <c r="B573" s="4" t="s">
        <v>639</v>
      </c>
      <c r="C573" s="4" t="s">
        <v>63</v>
      </c>
      <c r="D573" s="5" t="n">
        <v>265.6104</v>
      </c>
      <c r="E573" s="5" t="n">
        <v>1.6</v>
      </c>
      <c r="F573" s="5" t="n">
        <v>0.00507768269502958</v>
      </c>
      <c r="G573" s="5" t="n">
        <v>1.2613</v>
      </c>
      <c r="H573" s="2" t="n">
        <f aca="false">D573*F573</f>
        <v>1.34868533169989</v>
      </c>
      <c r="I573" s="2" t="n">
        <f aca="false">IF(G573="","",D573*1000000/Inputs!$B$4^2*Inputs!$B$5/G573)</f>
        <v>1.07013015750365</v>
      </c>
      <c r="J573" s="2" t="n">
        <f aca="false">IF(C573="A",Inputs!$B$7,IF(C573="B",Inputs!$B$8,IF(C573="C",Inputs!$B$9,0)))</f>
        <v>1</v>
      </c>
      <c r="K573" s="2" t="n">
        <f aca="false">IF(AND(E573&lt;&gt;"",G573&lt;&gt;"",J573&gt;0),IF(I573&gt;=Inputs!$B$6,1,0),0)</f>
        <v>0</v>
      </c>
      <c r="L573" s="5" t="n">
        <v>0</v>
      </c>
      <c r="M573" s="5" t="n">
        <v>265.6099</v>
      </c>
      <c r="N573" s="5" t="n">
        <v>1.35</v>
      </c>
      <c r="O573" s="4" t="s">
        <v>64</v>
      </c>
      <c r="P573" s="2" t="n">
        <f aca="false">IF(K573=1,J573/G573^2,0)</f>
        <v>0</v>
      </c>
      <c r="Q573" s="2" t="n">
        <f aca="false">IF(K573=1,((E573-Result!$B$7*D573)/G573)^2,0)</f>
        <v>0</v>
      </c>
    </row>
    <row r="574" customFormat="false" ht="15" hidden="false" customHeight="false" outlineLevel="0" collapsed="false">
      <c r="A574" s="4" t="s">
        <v>37</v>
      </c>
      <c r="B574" s="4" t="s">
        <v>640</v>
      </c>
      <c r="C574" s="4" t="s">
        <v>63</v>
      </c>
      <c r="D574" s="5" t="n">
        <v>430.1131</v>
      </c>
      <c r="E574" s="5" t="n">
        <v>0.59</v>
      </c>
      <c r="F574" s="5" t="n">
        <v>0.00507778190187795</v>
      </c>
      <c r="G574" s="5" t="n">
        <v>1.2613</v>
      </c>
      <c r="H574" s="2" t="n">
        <f aca="false">D574*F574</f>
        <v>2.18402051494062</v>
      </c>
      <c r="I574" s="2" t="n">
        <f aca="false">IF(G574="","",D574*1000000/Inputs!$B$4^2*Inputs!$B$5/G574)</f>
        <v>1.73290277582273</v>
      </c>
      <c r="J574" s="2" t="n">
        <f aca="false">IF(C574="A",Inputs!$B$7,IF(C574="B",Inputs!$B$8,IF(C574="C",Inputs!$B$9,0)))</f>
        <v>1</v>
      </c>
      <c r="K574" s="2" t="n">
        <f aca="false">IF(AND(E574&lt;&gt;"",G574&lt;&gt;"",J574&gt;0),IF(I574&gt;=Inputs!$B$6,1,0),0)</f>
        <v>0</v>
      </c>
      <c r="L574" s="5" t="n">
        <v>0</v>
      </c>
      <c r="M574" s="5" t="n">
        <v>430.1125</v>
      </c>
      <c r="N574" s="5" t="n">
        <v>2.18</v>
      </c>
      <c r="O574" s="4" t="s">
        <v>64</v>
      </c>
      <c r="P574" s="2" t="n">
        <f aca="false">IF(K574=1,J574/G574^2,0)</f>
        <v>0</v>
      </c>
      <c r="Q574" s="2" t="n">
        <f aca="false">IF(K574=1,((E574-Result!$B$7*D574)/G574)^2,0)</f>
        <v>0</v>
      </c>
    </row>
    <row r="575" customFormat="false" ht="15" hidden="false" customHeight="false" outlineLevel="0" collapsed="false">
      <c r="A575" s="4" t="s">
        <v>37</v>
      </c>
      <c r="B575" s="4" t="s">
        <v>641</v>
      </c>
      <c r="C575" s="4" t="s">
        <v>63</v>
      </c>
      <c r="D575" s="5" t="n">
        <v>561.2616</v>
      </c>
      <c r="E575" s="5" t="n">
        <v>4.15</v>
      </c>
      <c r="F575" s="5" t="n">
        <v>0.00507775047342675</v>
      </c>
      <c r="G575" s="5" t="n">
        <v>1.2613</v>
      </c>
      <c r="H575" s="2" t="n">
        <f aca="false">D575*F575</f>
        <v>2.84994635511625</v>
      </c>
      <c r="I575" s="2" t="n">
        <f aca="false">IF(G575="","",D575*1000000/Inputs!$B$4^2*Inputs!$B$5/G575)</f>
        <v>2.26129309849597</v>
      </c>
      <c r="J575" s="2" t="n">
        <f aca="false">IF(C575="A",Inputs!$B$7,IF(C575="B",Inputs!$B$8,IF(C575="C",Inputs!$B$9,0)))</f>
        <v>1</v>
      </c>
      <c r="K575" s="2" t="n">
        <f aca="false">IF(AND(E575&lt;&gt;"",G575&lt;&gt;"",J575&gt;0),IF(I575&gt;=Inputs!$B$6,1,0),0)</f>
        <v>1</v>
      </c>
      <c r="L575" s="5" t="n">
        <v>1</v>
      </c>
      <c r="M575" s="5" t="n">
        <v>561.2611</v>
      </c>
      <c r="N575" s="5" t="n">
        <v>2.85</v>
      </c>
      <c r="O575" s="4" t="s">
        <v>64</v>
      </c>
      <c r="P575" s="2" t="n">
        <f aca="false">IF(K575=1,J575/G575^2,0)</f>
        <v>0.628583835379576</v>
      </c>
      <c r="Q575" s="2" t="n">
        <f aca="false">IF(K575=1,((E575-Result!$B$7*D575)/G575)^2,0)</f>
        <v>1.08460566335815</v>
      </c>
    </row>
    <row r="576" customFormat="false" ht="15" hidden="false" customHeight="false" outlineLevel="0" collapsed="false">
      <c r="A576" s="4" t="s">
        <v>37</v>
      </c>
      <c r="B576" s="4" t="s">
        <v>642</v>
      </c>
      <c r="C576" s="4" t="s">
        <v>63</v>
      </c>
      <c r="D576" s="5" t="n">
        <v>279.5957</v>
      </c>
      <c r="E576" s="5" t="n">
        <v>0.75</v>
      </c>
      <c r="F576" s="5" t="n">
        <v>0.00507787453916211</v>
      </c>
      <c r="G576" s="5" t="n">
        <v>1.2613</v>
      </c>
      <c r="H576" s="2" t="n">
        <f aca="false">D576*F576</f>
        <v>1.41975188628921</v>
      </c>
      <c r="I576" s="2" t="n">
        <f aca="false">IF(G576="","",D576*1000000/Inputs!$B$4^2*Inputs!$B$5/G576)</f>
        <v>1.12647618646839</v>
      </c>
      <c r="J576" s="2" t="n">
        <f aca="false">IF(C576="A",Inputs!$B$7,IF(C576="B",Inputs!$B$8,IF(C576="C",Inputs!$B$9,0)))</f>
        <v>1</v>
      </c>
      <c r="K576" s="2" t="n">
        <f aca="false">IF(AND(E576&lt;&gt;"",G576&lt;&gt;"",J576&gt;0),IF(I576&gt;=Inputs!$B$6,1,0),0)</f>
        <v>0</v>
      </c>
      <c r="L576" s="5" t="n">
        <v>1</v>
      </c>
      <c r="M576" s="5" t="n">
        <v>279.5954</v>
      </c>
      <c r="N576" s="5" t="n">
        <v>1.42</v>
      </c>
      <c r="O576" s="4" t="s">
        <v>64</v>
      </c>
      <c r="P576" s="2" t="n">
        <f aca="false">IF(K576=1,J576/G576^2,0)</f>
        <v>0</v>
      </c>
      <c r="Q576" s="2" t="n">
        <f aca="false">IF(K576=1,((E576-Result!$B$7*D576)/G576)^2,0)</f>
        <v>0</v>
      </c>
    </row>
    <row r="577" customFormat="false" ht="15" hidden="false" customHeight="false" outlineLevel="0" collapsed="false">
      <c r="A577" s="4" t="s">
        <v>37</v>
      </c>
      <c r="B577" s="4" t="s">
        <v>643</v>
      </c>
      <c r="C577" s="4" t="s">
        <v>63</v>
      </c>
      <c r="D577" s="5" t="n">
        <v>310.9713</v>
      </c>
      <c r="E577" s="5" t="n">
        <v>1.32</v>
      </c>
      <c r="F577" s="5" t="n">
        <v>0.00507766381787792</v>
      </c>
      <c r="G577" s="5" t="n">
        <v>1.2613</v>
      </c>
      <c r="H577" s="2" t="n">
        <f aca="false">D577*F577</f>
        <v>1.57900771840846</v>
      </c>
      <c r="I577" s="2" t="n">
        <f aca="false">IF(G577="","",D577*1000000/Inputs!$B$4^2*Inputs!$B$5/G577)</f>
        <v>1.25288680807723</v>
      </c>
      <c r="J577" s="2" t="n">
        <f aca="false">IF(C577="A",Inputs!$B$7,IF(C577="B",Inputs!$B$8,IF(C577="C",Inputs!$B$9,0)))</f>
        <v>1</v>
      </c>
      <c r="K577" s="2" t="n">
        <f aca="false">IF(AND(E577&lt;&gt;"",G577&lt;&gt;"",J577&gt;0),IF(I577&gt;=Inputs!$B$6,1,0),0)</f>
        <v>0</v>
      </c>
      <c r="L577" s="5" t="n">
        <v>1</v>
      </c>
      <c r="M577" s="5" t="n">
        <v>310.9701</v>
      </c>
      <c r="N577" s="5" t="n">
        <v>1.48</v>
      </c>
      <c r="O577" s="4" t="s">
        <v>64</v>
      </c>
      <c r="P577" s="2" t="n">
        <f aca="false">IF(K577=1,J577/G577^2,0)</f>
        <v>0</v>
      </c>
      <c r="Q577" s="2" t="n">
        <f aca="false">IF(K577=1,((E577-Result!$B$7*D577)/G577)^2,0)</f>
        <v>0</v>
      </c>
    </row>
    <row r="578" customFormat="false" ht="15" hidden="false" customHeight="false" outlineLevel="0" collapsed="false">
      <c r="A578" s="4" t="s">
        <v>37</v>
      </c>
      <c r="B578" s="4" t="s">
        <v>644</v>
      </c>
      <c r="C578" s="4" t="s">
        <v>63</v>
      </c>
      <c r="D578" s="5" t="n">
        <v>200.9753</v>
      </c>
      <c r="E578" s="5" t="n">
        <v>1.05</v>
      </c>
      <c r="F578" s="5" t="n">
        <v>0.00507776319620976</v>
      </c>
      <c r="G578" s="5" t="n">
        <v>1.2613</v>
      </c>
      <c r="H578" s="2" t="n">
        <f aca="false">D578*F578</f>
        <v>1.02050498168722</v>
      </c>
      <c r="I578" s="2" t="n">
        <f aca="false">IF(G578="","",D578*1000000/Inputs!$B$4^2*Inputs!$B$5/G578)</f>
        <v>0.809718781506086</v>
      </c>
      <c r="J578" s="2" t="n">
        <f aca="false">IF(C578="A",Inputs!$B$7,IF(C578="B",Inputs!$B$8,IF(C578="C",Inputs!$B$9,0)))</f>
        <v>1</v>
      </c>
      <c r="K578" s="2" t="n">
        <f aca="false">IF(AND(E578&lt;&gt;"",G578&lt;&gt;"",J578&gt;0),IF(I578&gt;=Inputs!$B$6,1,0),0)</f>
        <v>0</v>
      </c>
      <c r="L578" s="5" t="n">
        <v>1</v>
      </c>
      <c r="M578" s="5" t="n">
        <v>200.9744</v>
      </c>
      <c r="N578" s="5" t="n">
        <v>1.02</v>
      </c>
      <c r="O578" s="4" t="s">
        <v>64</v>
      </c>
      <c r="P578" s="2" t="n">
        <f aca="false">IF(K578=1,J578/G578^2,0)</f>
        <v>0</v>
      </c>
      <c r="Q578" s="2" t="n">
        <f aca="false">IF(K578=1,((E578-Result!$B$7*D578)/G578)^2,0)</f>
        <v>0</v>
      </c>
    </row>
    <row r="579" customFormat="false" ht="15" hidden="false" customHeight="false" outlineLevel="0" collapsed="false">
      <c r="A579" s="4" t="s">
        <v>37</v>
      </c>
      <c r="B579" s="4" t="s">
        <v>645</v>
      </c>
      <c r="C579" s="4" t="s">
        <v>63</v>
      </c>
      <c r="D579" s="5" t="n">
        <v>223.7488</v>
      </c>
      <c r="E579" s="5" t="n">
        <v>1.39</v>
      </c>
      <c r="F579" s="5" t="n">
        <v>0.00507788120326704</v>
      </c>
      <c r="G579" s="5" t="n">
        <v>1.2613</v>
      </c>
      <c r="H579" s="2" t="n">
        <f aca="false">D579*F579</f>
        <v>1.13616982577356</v>
      </c>
      <c r="I579" s="2" t="n">
        <f aca="false">IF(G579="","",D579*1000000/Inputs!$B$4^2*Inputs!$B$5/G579)</f>
        <v>0.901472000287841</v>
      </c>
      <c r="J579" s="2" t="n">
        <f aca="false">IF(C579="A",Inputs!$B$7,IF(C579="B",Inputs!$B$8,IF(C579="C",Inputs!$B$9,0)))</f>
        <v>1</v>
      </c>
      <c r="K579" s="2" t="n">
        <f aca="false">IF(AND(E579&lt;&gt;"",G579&lt;&gt;"",J579&gt;0),IF(I579&gt;=Inputs!$B$6,1,0),0)</f>
        <v>0</v>
      </c>
      <c r="L579" s="5" t="n">
        <v>1</v>
      </c>
      <c r="M579" s="5" t="n">
        <v>223.7486</v>
      </c>
      <c r="N579" s="5" t="n">
        <v>1.14</v>
      </c>
      <c r="O579" s="4" t="s">
        <v>64</v>
      </c>
      <c r="P579" s="2" t="n">
        <f aca="false">IF(K579=1,J579/G579^2,0)</f>
        <v>0</v>
      </c>
      <c r="Q579" s="2" t="n">
        <f aca="false">IF(K579=1,((E579-Result!$B$7*D579)/G579)^2,0)</f>
        <v>0</v>
      </c>
    </row>
    <row r="580" customFormat="false" ht="15" hidden="false" customHeight="false" outlineLevel="0" collapsed="false">
      <c r="A580" s="4" t="s">
        <v>37</v>
      </c>
      <c r="B580" s="4" t="s">
        <v>646</v>
      </c>
      <c r="C580" s="4" t="s">
        <v>63</v>
      </c>
      <c r="D580" s="5" t="n">
        <v>327.6949</v>
      </c>
      <c r="E580" s="5" t="n">
        <v>1.8</v>
      </c>
      <c r="F580" s="5" t="n">
        <v>0.00507768527211776</v>
      </c>
      <c r="G580" s="5" t="n">
        <v>1.2613</v>
      </c>
      <c r="H580" s="2" t="n">
        <f aca="false">D580*F580</f>
        <v>1.6639315674781</v>
      </c>
      <c r="I580" s="2" t="n">
        <f aca="false">IF(G580="","",D580*1000000/Inputs!$B$4^2*Inputs!$B$5/G580)</f>
        <v>1.32026530192396</v>
      </c>
      <c r="J580" s="2" t="n">
        <f aca="false">IF(C580="A",Inputs!$B$7,IF(C580="B",Inputs!$B$8,IF(C580="C",Inputs!$B$9,0)))</f>
        <v>1</v>
      </c>
      <c r="K580" s="2" t="n">
        <f aca="false">IF(AND(E580&lt;&gt;"",G580&lt;&gt;"",J580&gt;0),IF(I580&gt;=Inputs!$B$6,1,0),0)</f>
        <v>0</v>
      </c>
      <c r="L580" s="5" t="n">
        <v>0</v>
      </c>
      <c r="M580" s="5" t="n">
        <v>327.694</v>
      </c>
      <c r="N580" s="5" t="n">
        <v>1.66</v>
      </c>
      <c r="O580" s="4" t="s">
        <v>64</v>
      </c>
      <c r="P580" s="2" t="n">
        <f aca="false">IF(K580=1,J580/G580^2,0)</f>
        <v>0</v>
      </c>
      <c r="Q580" s="2" t="n">
        <f aca="false">IF(K580=1,((E580-Result!$B$7*D580)/G580)^2,0)</f>
        <v>0</v>
      </c>
    </row>
    <row r="581" customFormat="false" ht="15" hidden="false" customHeight="false" outlineLevel="0" collapsed="false">
      <c r="A581" s="4" t="s">
        <v>37</v>
      </c>
      <c r="B581" s="4" t="s">
        <v>647</v>
      </c>
      <c r="C581" s="4" t="s">
        <v>63</v>
      </c>
      <c r="D581" s="5" t="n">
        <v>371.6097</v>
      </c>
      <c r="E581" s="5" t="n">
        <v>-0.29</v>
      </c>
      <c r="F581" s="5" t="n">
        <v>0.0050777748734868</v>
      </c>
      <c r="G581" s="5" t="n">
        <v>1.2613</v>
      </c>
      <c r="H581" s="2" t="n">
        <f aca="false">D581*F581</f>
        <v>1.88695039740397</v>
      </c>
      <c r="I581" s="2" t="n">
        <f aca="false">IF(G581="","",D581*1000000/Inputs!$B$4^2*Inputs!$B$5/G581)</f>
        <v>1.49719569260423</v>
      </c>
      <c r="J581" s="2" t="n">
        <f aca="false">IF(C581="A",Inputs!$B$7,IF(C581="B",Inputs!$B$8,IF(C581="C",Inputs!$B$9,0)))</f>
        <v>1</v>
      </c>
      <c r="K581" s="2" t="n">
        <f aca="false">IF(AND(E581&lt;&gt;"",G581&lt;&gt;"",J581&gt;0),IF(I581&gt;=Inputs!$B$6,1,0),0)</f>
        <v>0</v>
      </c>
      <c r="L581" s="5" t="n">
        <v>1</v>
      </c>
      <c r="M581" s="5" t="n">
        <v>371.6089</v>
      </c>
      <c r="N581" s="5" t="n">
        <v>1.89</v>
      </c>
      <c r="O581" s="4" t="s">
        <v>64</v>
      </c>
      <c r="P581" s="2" t="n">
        <f aca="false">IF(K581=1,J581/G581^2,0)</f>
        <v>0</v>
      </c>
      <c r="Q581" s="2" t="n">
        <f aca="false">IF(K581=1,((E581-Result!$B$7*D581)/G581)^2,0)</f>
        <v>0</v>
      </c>
    </row>
    <row r="582" customFormat="false" ht="15" hidden="false" customHeight="false" outlineLevel="0" collapsed="false">
      <c r="A582" s="4" t="s">
        <v>37</v>
      </c>
      <c r="B582" s="4" t="s">
        <v>648</v>
      </c>
      <c r="C582" s="4" t="s">
        <v>63</v>
      </c>
      <c r="D582" s="5" t="n">
        <v>363.3735</v>
      </c>
      <c r="E582" s="5" t="n">
        <v>0.94</v>
      </c>
      <c r="F582" s="5" t="n">
        <v>0.00507776370281152</v>
      </c>
      <c r="G582" s="5" t="n">
        <v>1.2613</v>
      </c>
      <c r="H582" s="2" t="n">
        <f aca="false">D582*F582</f>
        <v>1.84512476886358</v>
      </c>
      <c r="I582" s="2" t="n">
        <f aca="false">IF(G582="","",D582*1000000/Inputs!$B$4^2*Inputs!$B$5/G582)</f>
        <v>1.4640124813925</v>
      </c>
      <c r="J582" s="2" t="n">
        <f aca="false">IF(C582="A",Inputs!$B$7,IF(C582="B",Inputs!$B$8,IF(C582="C",Inputs!$B$9,0)))</f>
        <v>1</v>
      </c>
      <c r="K582" s="2" t="n">
        <f aca="false">IF(AND(E582&lt;&gt;"",G582&lt;&gt;"",J582&gt;0),IF(I582&gt;=Inputs!$B$6,1,0),0)</f>
        <v>0</v>
      </c>
      <c r="L582" s="5" t="n">
        <v>0</v>
      </c>
      <c r="M582" s="5" t="n">
        <v>363.3726</v>
      </c>
      <c r="N582" s="5" t="n">
        <v>1.85</v>
      </c>
      <c r="O582" s="4" t="s">
        <v>64</v>
      </c>
      <c r="P582" s="2" t="n">
        <f aca="false">IF(K582=1,J582/G582^2,0)</f>
        <v>0</v>
      </c>
      <c r="Q582" s="2" t="n">
        <f aca="false">IF(K582=1,((E582-Result!$B$7*D582)/G582)^2,0)</f>
        <v>0</v>
      </c>
    </row>
    <row r="583" customFormat="false" ht="15" hidden="false" customHeight="false" outlineLevel="0" collapsed="false">
      <c r="A583" s="4" t="s">
        <v>37</v>
      </c>
      <c r="B583" s="4" t="s">
        <v>649</v>
      </c>
      <c r="C583" s="4" t="s">
        <v>63</v>
      </c>
      <c r="D583" s="5" t="n">
        <v>319.4584</v>
      </c>
      <c r="E583" s="5" t="n">
        <v>3.03</v>
      </c>
      <c r="F583" s="5" t="n">
        <v>0.00507767038167759</v>
      </c>
      <c r="G583" s="5" t="n">
        <v>1.2613</v>
      </c>
      <c r="H583" s="2" t="n">
        <f aca="false">D583*F583</f>
        <v>1.62210445585811</v>
      </c>
      <c r="I583" s="2" t="n">
        <f aca="false">IF(G583="","",D583*1000000/Inputs!$B$4^2*Inputs!$B$5/G583)</f>
        <v>1.28708088202821</v>
      </c>
      <c r="J583" s="2" t="n">
        <f aca="false">IF(C583="A",Inputs!$B$7,IF(C583="B",Inputs!$B$8,IF(C583="C",Inputs!$B$9,0)))</f>
        <v>1</v>
      </c>
      <c r="K583" s="2" t="n">
        <f aca="false">IF(AND(E583&lt;&gt;"",G583&lt;&gt;"",J583&gt;0),IF(I583&gt;=Inputs!$B$6,1,0),0)</f>
        <v>0</v>
      </c>
      <c r="L583" s="5" t="n">
        <v>1</v>
      </c>
      <c r="M583" s="5" t="n">
        <v>319.4577</v>
      </c>
      <c r="N583" s="5" t="n">
        <v>1.62</v>
      </c>
      <c r="O583" s="4" t="s">
        <v>64</v>
      </c>
      <c r="P583" s="2" t="n">
        <f aca="false">IF(K583=1,J583/G583^2,0)</f>
        <v>0</v>
      </c>
      <c r="Q583" s="2" t="n">
        <f aca="false">IF(K583=1,((E583-Result!$B$7*D583)/G583)^2,0)</f>
        <v>0</v>
      </c>
    </row>
    <row r="584" customFormat="false" ht="15" hidden="false" customHeight="false" outlineLevel="0" collapsed="false">
      <c r="A584" s="4" t="s">
        <v>37</v>
      </c>
      <c r="B584" s="4" t="s">
        <v>650</v>
      </c>
      <c r="C584" s="4" t="s">
        <v>63</v>
      </c>
      <c r="D584" s="5" t="n">
        <v>592.1563</v>
      </c>
      <c r="E584" s="5" t="n">
        <v>3.5</v>
      </c>
      <c r="F584" s="5" t="n">
        <v>0.00507768258989041</v>
      </c>
      <c r="G584" s="5" t="n">
        <v>1.2613</v>
      </c>
      <c r="H584" s="2" t="n">
        <f aca="false">D584*F584</f>
        <v>3.00678173500392</v>
      </c>
      <c r="I584" s="2" t="n">
        <f aca="false">IF(G584="","",D584*1000000/Inputs!$B$4^2*Inputs!$B$5/G584)</f>
        <v>2.38576619961335</v>
      </c>
      <c r="J584" s="2" t="n">
        <f aca="false">IF(C584="A",Inputs!$B$7,IF(C584="B",Inputs!$B$8,IF(C584="C",Inputs!$B$9,0)))</f>
        <v>1</v>
      </c>
      <c r="K584" s="2" t="n">
        <f aca="false">IF(AND(E584&lt;&gt;"",G584&lt;&gt;"",J584&gt;0),IF(I584&gt;=Inputs!$B$6,1,0),0)</f>
        <v>1</v>
      </c>
      <c r="L584" s="5" t="n">
        <v>1</v>
      </c>
      <c r="M584" s="5" t="n">
        <v>592.1561</v>
      </c>
      <c r="N584" s="5" t="n">
        <v>3</v>
      </c>
      <c r="O584" s="4" t="s">
        <v>64</v>
      </c>
      <c r="P584" s="2" t="n">
        <f aca="false">IF(K584=1,J584/G584^2,0)</f>
        <v>0.628583835379576</v>
      </c>
      <c r="Q584" s="2" t="n">
        <f aca="false">IF(K584=1,((E584-Result!$B$7*D584)/G584)^2,0)</f>
        <v>0.161858672764884</v>
      </c>
    </row>
    <row r="585" customFormat="false" ht="15" hidden="false" customHeight="false" outlineLevel="0" collapsed="false">
      <c r="A585" s="4" t="s">
        <v>37</v>
      </c>
      <c r="B585" s="4" t="s">
        <v>651</v>
      </c>
      <c r="C585" s="4" t="s">
        <v>63</v>
      </c>
      <c r="D585" s="5" t="n">
        <v>400.3288</v>
      </c>
      <c r="E585" s="5" t="n">
        <v>2.16</v>
      </c>
      <c r="F585" s="5" t="n">
        <v>0.00507776399936093</v>
      </c>
      <c r="G585" s="5" t="n">
        <v>1.2613</v>
      </c>
      <c r="H585" s="2" t="n">
        <f aca="false">D585*F585</f>
        <v>2.03277516854736</v>
      </c>
      <c r="I585" s="2" t="n">
        <f aca="false">IF(G585="","",D585*1000000/Inputs!$B$4^2*Inputs!$B$5/G585)</f>
        <v>1.61290341717511</v>
      </c>
      <c r="J585" s="2" t="n">
        <f aca="false">IF(C585="A",Inputs!$B$7,IF(C585="B",Inputs!$B$8,IF(C585="C",Inputs!$B$9,0)))</f>
        <v>1</v>
      </c>
      <c r="K585" s="2" t="n">
        <f aca="false">IF(AND(E585&lt;&gt;"",G585&lt;&gt;"",J585&gt;0),IF(I585&gt;=Inputs!$B$6,1,0),0)</f>
        <v>0</v>
      </c>
      <c r="L585" s="5" t="n">
        <v>0</v>
      </c>
      <c r="M585" s="5" t="n">
        <v>400.3286</v>
      </c>
      <c r="N585" s="5" t="n">
        <v>2.03</v>
      </c>
      <c r="O585" s="4" t="s">
        <v>64</v>
      </c>
      <c r="P585" s="2" t="n">
        <f aca="false">IF(K585=1,J585/G585^2,0)</f>
        <v>0</v>
      </c>
      <c r="Q585" s="2" t="n">
        <f aca="false">IF(K585=1,((E585-Result!$B$7*D585)/G585)^2,0)</f>
        <v>0</v>
      </c>
    </row>
    <row r="586" customFormat="false" ht="15" hidden="false" customHeight="false" outlineLevel="0" collapsed="false">
      <c r="A586" s="4" t="s">
        <v>37</v>
      </c>
      <c r="B586" s="4" t="s">
        <v>652</v>
      </c>
      <c r="C586" s="4" t="s">
        <v>63</v>
      </c>
      <c r="D586" s="5" t="n">
        <v>395.7547</v>
      </c>
      <c r="E586" s="5" t="n">
        <v>3.75</v>
      </c>
      <c r="F586" s="5" t="n">
        <v>0.00507778736989201</v>
      </c>
      <c r="G586" s="5" t="n">
        <v>1.2613</v>
      </c>
      <c r="H586" s="2" t="n">
        <f aca="false">D586*F586</f>
        <v>2.0095582172354</v>
      </c>
      <c r="I586" s="2" t="n">
        <f aca="false">IF(G586="","",D586*1000000/Inputs!$B$4^2*Inputs!$B$5/G586)</f>
        <v>1.59447461185184</v>
      </c>
      <c r="J586" s="2" t="n">
        <f aca="false">IF(C586="A",Inputs!$B$7,IF(C586="B",Inputs!$B$8,IF(C586="C",Inputs!$B$9,0)))</f>
        <v>1</v>
      </c>
      <c r="K586" s="2" t="n">
        <f aca="false">IF(AND(E586&lt;&gt;"",G586&lt;&gt;"",J586&gt;0),IF(I586&gt;=Inputs!$B$6,1,0),0)</f>
        <v>0</v>
      </c>
      <c r="L586" s="5" t="n">
        <v>1</v>
      </c>
      <c r="M586" s="5" t="n">
        <v>395.7538</v>
      </c>
      <c r="N586" s="5" t="n">
        <v>2.01</v>
      </c>
      <c r="O586" s="4" t="s">
        <v>64</v>
      </c>
      <c r="P586" s="2" t="n">
        <f aca="false">IF(K586=1,J586/G586^2,0)</f>
        <v>0</v>
      </c>
      <c r="Q586" s="2" t="n">
        <f aca="false">IF(K586=1,((E586-Result!$B$7*D586)/G586)^2,0)</f>
        <v>0</v>
      </c>
    </row>
    <row r="587" customFormat="false" ht="15" hidden="false" customHeight="false" outlineLevel="0" collapsed="false">
      <c r="A587" s="4" t="s">
        <v>37</v>
      </c>
      <c r="B587" s="4" t="s">
        <v>653</v>
      </c>
      <c r="C587" s="4" t="s">
        <v>63</v>
      </c>
      <c r="D587" s="5" t="n">
        <v>587.5812</v>
      </c>
      <c r="E587" s="5" t="n">
        <v>5.09</v>
      </c>
      <c r="F587" s="5" t="n">
        <v>0.00507769777583136</v>
      </c>
      <c r="G587" s="5" t="n">
        <v>1.2613</v>
      </c>
      <c r="H587" s="2" t="n">
        <f aca="false">D587*F587</f>
        <v>2.98355975236032</v>
      </c>
      <c r="I587" s="2" t="n">
        <f aca="false">IF(G587="","",D587*1000000/Inputs!$B$4^2*Inputs!$B$5/G587)</f>
        <v>2.36733336534332</v>
      </c>
      <c r="J587" s="2" t="n">
        <f aca="false">IF(C587="A",Inputs!$B$7,IF(C587="B",Inputs!$B$8,IF(C587="C",Inputs!$B$9,0)))</f>
        <v>1</v>
      </c>
      <c r="K587" s="2" t="n">
        <f aca="false">IF(AND(E587&lt;&gt;"",G587&lt;&gt;"",J587&gt;0),IF(I587&gt;=Inputs!$B$6,1,0),0)</f>
        <v>1</v>
      </c>
      <c r="L587" s="5" t="n">
        <v>0</v>
      </c>
      <c r="M587" s="5" t="n">
        <v>587.5814</v>
      </c>
      <c r="N587" s="5" t="n">
        <v>2.98</v>
      </c>
      <c r="O587" s="4" t="s">
        <v>64</v>
      </c>
      <c r="P587" s="2" t="n">
        <f aca="false">IF(K587=1,J587/G587^2,0)</f>
        <v>0.628583835379576</v>
      </c>
      <c r="Q587" s="2" t="n">
        <f aca="false">IF(K587=1,((E587-Result!$B$7*D587)/G587)^2,0)</f>
        <v>2.82660783912601</v>
      </c>
    </row>
    <row r="588" customFormat="false" ht="15" hidden="false" customHeight="false" outlineLevel="0" collapsed="false">
      <c r="A588" s="4" t="s">
        <v>37</v>
      </c>
      <c r="B588" s="4" t="s">
        <v>654</v>
      </c>
      <c r="C588" s="4" t="s">
        <v>63</v>
      </c>
      <c r="D588" s="5" t="n">
        <v>419.5722</v>
      </c>
      <c r="E588" s="5" t="n">
        <v>2.09</v>
      </c>
      <c r="F588" s="5" t="n">
        <v>0.00507777681095324</v>
      </c>
      <c r="G588" s="5" t="n">
        <v>1.2613</v>
      </c>
      <c r="H588" s="2" t="n">
        <f aca="false">D588*F588</f>
        <v>2.13049398768064</v>
      </c>
      <c r="I588" s="2" t="n">
        <f aca="false">IF(G588="","",D588*1000000/Inputs!$B$4^2*Inputs!$B$5/G588)</f>
        <v>1.69043405103925</v>
      </c>
      <c r="J588" s="2" t="n">
        <f aca="false">IF(C588="A",Inputs!$B$7,IF(C588="B",Inputs!$B$8,IF(C588="C",Inputs!$B$9,0)))</f>
        <v>1</v>
      </c>
      <c r="K588" s="2" t="n">
        <f aca="false">IF(AND(E588&lt;&gt;"",G588&lt;&gt;"",J588&gt;0),IF(I588&gt;=Inputs!$B$6,1,0),0)</f>
        <v>0</v>
      </c>
      <c r="L588" s="5" t="n">
        <v>1</v>
      </c>
      <c r="M588" s="5" t="n">
        <v>419.5714</v>
      </c>
      <c r="N588" s="5" t="n">
        <v>2.13</v>
      </c>
      <c r="O588" s="4" t="s">
        <v>64</v>
      </c>
      <c r="P588" s="2" t="n">
        <f aca="false">IF(K588=1,J588/G588^2,0)</f>
        <v>0</v>
      </c>
      <c r="Q588" s="2" t="n">
        <f aca="false">IF(K588=1,((E588-Result!$B$7*D588)/G588)^2,0)</f>
        <v>0</v>
      </c>
    </row>
    <row r="589" customFormat="false" ht="15" hidden="false" customHeight="false" outlineLevel="0" collapsed="false">
      <c r="A589" s="4" t="s">
        <v>37</v>
      </c>
      <c r="B589" s="4" t="s">
        <v>655</v>
      </c>
      <c r="C589" s="4" t="s">
        <v>63</v>
      </c>
      <c r="D589" s="5" t="n">
        <v>408.0978</v>
      </c>
      <c r="E589" s="5" t="n">
        <v>1.66</v>
      </c>
      <c r="F589" s="5" t="n">
        <v>0.00507770884932929</v>
      </c>
      <c r="G589" s="5" t="n">
        <v>1.2613</v>
      </c>
      <c r="H589" s="2" t="n">
        <f aca="false">D589*F589</f>
        <v>2.07220181045182</v>
      </c>
      <c r="I589" s="2" t="n">
        <f aca="false">IF(G589="","",D589*1000000/Inputs!$B$4^2*Inputs!$B$5/G589)</f>
        <v>1.64420430446584</v>
      </c>
      <c r="J589" s="2" t="n">
        <f aca="false">IF(C589="A",Inputs!$B$7,IF(C589="B",Inputs!$B$8,IF(C589="C",Inputs!$B$9,0)))</f>
        <v>1</v>
      </c>
      <c r="K589" s="2" t="n">
        <f aca="false">IF(AND(E589&lt;&gt;"",G589&lt;&gt;"",J589&gt;0),IF(I589&gt;=Inputs!$B$6,1,0),0)</f>
        <v>0</v>
      </c>
      <c r="L589" s="5" t="n">
        <v>0</v>
      </c>
      <c r="M589" s="5" t="n">
        <v>408.0972</v>
      </c>
      <c r="N589" s="5" t="n">
        <v>2.07</v>
      </c>
      <c r="O589" s="4" t="s">
        <v>64</v>
      </c>
      <c r="P589" s="2" t="n">
        <f aca="false">IF(K589=1,J589/G589^2,0)</f>
        <v>0</v>
      </c>
      <c r="Q589" s="2" t="n">
        <f aca="false">IF(K589=1,((E589-Result!$B$7*D589)/G589)^2,0)</f>
        <v>0</v>
      </c>
    </row>
    <row r="590" customFormat="false" ht="15" hidden="false" customHeight="false" outlineLevel="0" collapsed="false">
      <c r="A590" s="4" t="s">
        <v>37</v>
      </c>
      <c r="B590" s="4" t="s">
        <v>656</v>
      </c>
      <c r="C590" s="4" t="s">
        <v>63</v>
      </c>
      <c r="D590" s="5" t="n">
        <v>342.6555</v>
      </c>
      <c r="E590" s="5" t="n">
        <v>2.19</v>
      </c>
      <c r="F590" s="5" t="n">
        <v>0.00507768309908254</v>
      </c>
      <c r="G590" s="5" t="n">
        <v>1.2613</v>
      </c>
      <c r="H590" s="2" t="n">
        <f aca="false">D590*F590</f>
        <v>1.73989604115768</v>
      </c>
      <c r="I590" s="2" t="n">
        <f aca="false">IF(G590="","",D590*1000000/Inputs!$B$4^2*Inputs!$B$5/G590)</f>
        <v>1.38054076265272</v>
      </c>
      <c r="J590" s="2" t="n">
        <f aca="false">IF(C590="A",Inputs!$B$7,IF(C590="B",Inputs!$B$8,IF(C590="C",Inputs!$B$9,0)))</f>
        <v>1</v>
      </c>
      <c r="K590" s="2" t="n">
        <f aca="false">IF(AND(E590&lt;&gt;"",G590&lt;&gt;"",J590&gt;0),IF(I590&gt;=Inputs!$B$6,1,0),0)</f>
        <v>0</v>
      </c>
      <c r="L590" s="5" t="n">
        <v>1</v>
      </c>
      <c r="M590" s="5" t="n">
        <v>342.655</v>
      </c>
      <c r="N590" s="5" t="n">
        <v>1.74</v>
      </c>
      <c r="O590" s="4" t="s">
        <v>64</v>
      </c>
      <c r="P590" s="2" t="n">
        <f aca="false">IF(K590=1,J590/G590^2,0)</f>
        <v>0</v>
      </c>
      <c r="Q590" s="2" t="n">
        <f aca="false">IF(K590=1,((E590-Result!$B$7*D590)/G590)^2,0)</f>
        <v>0</v>
      </c>
    </row>
    <row r="591" customFormat="false" ht="15" hidden="false" customHeight="false" outlineLevel="0" collapsed="false">
      <c r="A591" s="4" t="s">
        <v>37</v>
      </c>
      <c r="B591" s="4" t="s">
        <v>657</v>
      </c>
      <c r="C591" s="4" t="s">
        <v>63</v>
      </c>
      <c r="D591" s="5" t="n">
        <v>354.1295</v>
      </c>
      <c r="E591" s="5" t="n">
        <v>2.62</v>
      </c>
      <c r="F591" s="5" t="n">
        <v>0.00507776450828315</v>
      </c>
      <c r="G591" s="5" t="n">
        <v>1.2613</v>
      </c>
      <c r="H591" s="2" t="n">
        <f aca="false">D591*F591</f>
        <v>1.79818620643606</v>
      </c>
      <c r="I591" s="2" t="n">
        <f aca="false">IF(G591="","",D591*1000000/Inputs!$B$4^2*Inputs!$B$5/G591)</f>
        <v>1.42676889764742</v>
      </c>
      <c r="J591" s="2" t="n">
        <f aca="false">IF(C591="A",Inputs!$B$7,IF(C591="B",Inputs!$B$8,IF(C591="C",Inputs!$B$9,0)))</f>
        <v>1</v>
      </c>
      <c r="K591" s="2" t="n">
        <f aca="false">IF(AND(E591&lt;&gt;"",G591&lt;&gt;"",J591&gt;0),IF(I591&gt;=Inputs!$B$6,1,0),0)</f>
        <v>0</v>
      </c>
      <c r="L591" s="5" t="n">
        <v>0</v>
      </c>
      <c r="M591" s="5" t="n">
        <v>354.1291</v>
      </c>
      <c r="N591" s="5" t="n">
        <v>1.8</v>
      </c>
      <c r="O591" s="4" t="s">
        <v>64</v>
      </c>
      <c r="P591" s="2" t="n">
        <f aca="false">IF(K591=1,J591/G591^2,0)</f>
        <v>0</v>
      </c>
      <c r="Q591" s="2" t="n">
        <f aca="false">IF(K591=1,((E591-Result!$B$7*D591)/G591)^2,0)</f>
        <v>0</v>
      </c>
    </row>
    <row r="592" customFormat="false" ht="15" hidden="false" customHeight="false" outlineLevel="0" collapsed="false">
      <c r="A592" s="4" t="s">
        <v>37</v>
      </c>
      <c r="B592" s="4" t="s">
        <v>658</v>
      </c>
      <c r="C592" s="4" t="s">
        <v>63</v>
      </c>
      <c r="D592" s="5" t="n">
        <v>221.08</v>
      </c>
      <c r="E592" s="5" t="n">
        <v>1.76</v>
      </c>
      <c r="F592" s="5" t="n">
        <v>0.00507763516310525</v>
      </c>
      <c r="G592" s="5" t="n">
        <v>1.2613</v>
      </c>
      <c r="H592" s="2" t="n">
        <f aca="false">D592*F592</f>
        <v>1.12256358185931</v>
      </c>
      <c r="I592" s="2" t="n">
        <f aca="false">IF(G592="","",D592*1000000/Inputs!$B$4^2*Inputs!$B$5/G592)</f>
        <v>0.890719547204883</v>
      </c>
      <c r="J592" s="2" t="n">
        <f aca="false">IF(C592="A",Inputs!$B$7,IF(C592="B",Inputs!$B$8,IF(C592="C",Inputs!$B$9,0)))</f>
        <v>1</v>
      </c>
      <c r="K592" s="2" t="n">
        <f aca="false">IF(AND(E592&lt;&gt;"",G592&lt;&gt;"",J592&gt;0),IF(I592&gt;=Inputs!$B$6,1,0),0)</f>
        <v>0</v>
      </c>
      <c r="L592" s="5" t="n">
        <v>1</v>
      </c>
      <c r="M592" s="5" t="n">
        <v>221.0796</v>
      </c>
      <c r="N592" s="5" t="n">
        <v>1.12</v>
      </c>
      <c r="O592" s="4" t="s">
        <v>64</v>
      </c>
      <c r="P592" s="2" t="n">
        <f aca="false">IF(K592=1,J592/G592^2,0)</f>
        <v>0</v>
      </c>
      <c r="Q592" s="2" t="n">
        <f aca="false">IF(K592=1,((E592-Result!$B$7*D592)/G592)^2,0)</f>
        <v>0</v>
      </c>
    </row>
    <row r="593" customFormat="false" ht="15" hidden="false" customHeight="false" outlineLevel="0" collapsed="false">
      <c r="A593" s="4" t="s">
        <v>37</v>
      </c>
      <c r="B593" s="4" t="s">
        <v>659</v>
      </c>
      <c r="C593" s="4" t="s">
        <v>63</v>
      </c>
      <c r="D593" s="5" t="n">
        <v>401.2827</v>
      </c>
      <c r="E593" s="5" t="n">
        <v>4.24</v>
      </c>
      <c r="F593" s="5" t="n">
        <v>0.0050776861643883</v>
      </c>
      <c r="G593" s="5" t="n">
        <v>1.2613</v>
      </c>
      <c r="H593" s="2" t="n">
        <f aca="false">D593*F593</f>
        <v>2.03758761379838</v>
      </c>
      <c r="I593" s="2" t="n">
        <f aca="false">IF(G593="","",D593*1000000/Inputs!$B$4^2*Inputs!$B$5/G593)</f>
        <v>1.61674662947871</v>
      </c>
      <c r="J593" s="2" t="n">
        <f aca="false">IF(C593="A",Inputs!$B$7,IF(C593="B",Inputs!$B$8,IF(C593="C",Inputs!$B$9,0)))</f>
        <v>1</v>
      </c>
      <c r="K593" s="2" t="n">
        <f aca="false">IF(AND(E593&lt;&gt;"",G593&lt;&gt;"",J593&gt;0),IF(I593&gt;=Inputs!$B$6,1,0),0)</f>
        <v>0</v>
      </c>
      <c r="L593" s="5" t="n">
        <v>0</v>
      </c>
      <c r="M593" s="5" t="n">
        <v>401.2826</v>
      </c>
      <c r="N593" s="5" t="n">
        <v>2.04</v>
      </c>
      <c r="O593" s="4" t="s">
        <v>64</v>
      </c>
      <c r="P593" s="2" t="n">
        <f aca="false">IF(K593=1,J593/G593^2,0)</f>
        <v>0</v>
      </c>
      <c r="Q593" s="2" t="n">
        <f aca="false">IF(K593=1,((E593-Result!$B$7*D593)/G593)^2,0)</f>
        <v>0</v>
      </c>
    </row>
    <row r="594" customFormat="false" ht="15" hidden="false" customHeight="false" outlineLevel="0" collapsed="false">
      <c r="A594" s="4" t="s">
        <v>37</v>
      </c>
      <c r="B594" s="4" t="s">
        <v>660</v>
      </c>
      <c r="C594" s="4" t="s">
        <v>63</v>
      </c>
      <c r="D594" s="5" t="n">
        <v>439.9785</v>
      </c>
      <c r="E594" s="5" t="n">
        <v>3.55</v>
      </c>
      <c r="F594" s="5" t="n">
        <v>0.00507765054212637</v>
      </c>
      <c r="G594" s="5" t="n">
        <v>1.2613</v>
      </c>
      <c r="H594" s="2" t="n">
        <f aca="false">D594*F594</f>
        <v>2.23405706904895</v>
      </c>
      <c r="I594" s="2" t="n">
        <f aca="false">IF(G594="","",D594*1000000/Inputs!$B$4^2*Inputs!$B$5/G594)</f>
        <v>1.77264994707745</v>
      </c>
      <c r="J594" s="2" t="n">
        <f aca="false">IF(C594="A",Inputs!$B$7,IF(C594="B",Inputs!$B$8,IF(C594="C",Inputs!$B$9,0)))</f>
        <v>1</v>
      </c>
      <c r="K594" s="2" t="n">
        <f aca="false">IF(AND(E594&lt;&gt;"",G594&lt;&gt;"",J594&gt;0),IF(I594&gt;=Inputs!$B$6,1,0),0)</f>
        <v>0</v>
      </c>
      <c r="L594" s="5" t="n">
        <v>1</v>
      </c>
      <c r="M594" s="5" t="n">
        <v>439.978</v>
      </c>
      <c r="N594" s="5" t="n">
        <v>2.24</v>
      </c>
      <c r="O594" s="4" t="s">
        <v>64</v>
      </c>
      <c r="P594" s="2" t="n">
        <f aca="false">IF(K594=1,J594/G594^2,0)</f>
        <v>0</v>
      </c>
      <c r="Q594" s="2" t="n">
        <f aca="false">IF(K594=1,((E594-Result!$B$7*D594)/G594)^2,0)</f>
        <v>0</v>
      </c>
    </row>
    <row r="595" customFormat="false" ht="15" hidden="false" customHeight="false" outlineLevel="0" collapsed="false">
      <c r="A595" s="4" t="s">
        <v>37</v>
      </c>
      <c r="B595" s="4" t="s">
        <v>661</v>
      </c>
      <c r="C595" s="4" t="s">
        <v>63</v>
      </c>
      <c r="D595" s="5" t="n">
        <v>259.7756</v>
      </c>
      <c r="E595" s="5" t="n">
        <v>1.07</v>
      </c>
      <c r="F595" s="5" t="n">
        <v>0.00507758252494996</v>
      </c>
      <c r="G595" s="5" t="n">
        <v>1.2613</v>
      </c>
      <c r="H595" s="2" t="n">
        <f aca="false">D595*F595</f>
        <v>1.31903204696839</v>
      </c>
      <c r="I595" s="2" t="n">
        <f aca="false">IF(G595="","",D595*1000000/Inputs!$B$4^2*Inputs!$B$5/G595)</f>
        <v>1.04662205901428</v>
      </c>
      <c r="J595" s="2" t="n">
        <f aca="false">IF(C595="A",Inputs!$B$7,IF(C595="B",Inputs!$B$8,IF(C595="C",Inputs!$B$9,0)))</f>
        <v>1</v>
      </c>
      <c r="K595" s="2" t="n">
        <f aca="false">IF(AND(E595&lt;&gt;"",G595&lt;&gt;"",J595&gt;0),IF(I595&gt;=Inputs!$B$6,1,0),0)</f>
        <v>0</v>
      </c>
      <c r="L595" s="5" t="n">
        <v>0</v>
      </c>
      <c r="M595" s="5" t="n">
        <v>259.775</v>
      </c>
      <c r="N595" s="5" t="n">
        <v>1.32</v>
      </c>
      <c r="O595" s="4" t="s">
        <v>64</v>
      </c>
      <c r="P595" s="2" t="n">
        <f aca="false">IF(K595=1,J595/G595^2,0)</f>
        <v>0</v>
      </c>
      <c r="Q595" s="2" t="n">
        <f aca="false">IF(K595=1,((E595-Result!$B$7*D595)/G595)^2,0)</f>
        <v>0</v>
      </c>
    </row>
    <row r="596" customFormat="false" ht="15" hidden="false" customHeight="false" outlineLevel="0" collapsed="false">
      <c r="A596" s="4" t="s">
        <v>37</v>
      </c>
      <c r="B596" s="4" t="s">
        <v>662</v>
      </c>
      <c r="C596" s="4" t="s">
        <v>63</v>
      </c>
      <c r="D596" s="5" t="n">
        <v>279.1359</v>
      </c>
      <c r="E596" s="5" t="n">
        <v>0.85</v>
      </c>
      <c r="F596" s="5" t="n">
        <v>0.00507751502423488</v>
      </c>
      <c r="G596" s="5" t="n">
        <v>1.2613</v>
      </c>
      <c r="H596" s="2" t="n">
        <f aca="false">D596*F596</f>
        <v>1.41731672605332</v>
      </c>
      <c r="I596" s="2" t="n">
        <f aca="false">IF(G596="","",D596*1000000/Inputs!$B$4^2*Inputs!$B$5/G596)</f>
        <v>1.12462367675334</v>
      </c>
      <c r="J596" s="2" t="n">
        <f aca="false">IF(C596="A",Inputs!$B$7,IF(C596="B",Inputs!$B$8,IF(C596="C",Inputs!$B$9,0)))</f>
        <v>1</v>
      </c>
      <c r="K596" s="2" t="n">
        <f aca="false">IF(AND(E596&lt;&gt;"",G596&lt;&gt;"",J596&gt;0),IF(I596&gt;=Inputs!$B$6,1,0),0)</f>
        <v>0</v>
      </c>
      <c r="L596" s="5" t="n">
        <v>0</v>
      </c>
      <c r="M596" s="5" t="n">
        <v>279.1346</v>
      </c>
      <c r="N596" s="5" t="n">
        <v>1.42</v>
      </c>
      <c r="O596" s="4" t="s">
        <v>64</v>
      </c>
      <c r="P596" s="2" t="n">
        <f aca="false">IF(K596=1,J596/G596^2,0)</f>
        <v>0</v>
      </c>
      <c r="Q596" s="2" t="n">
        <f aca="false">IF(K596=1,((E596-Result!$B$7*D596)/G596)^2,0)</f>
        <v>0</v>
      </c>
    </row>
    <row r="597" customFormat="false" ht="15" hidden="false" customHeight="false" outlineLevel="0" collapsed="false">
      <c r="A597" s="4" t="s">
        <v>37</v>
      </c>
      <c r="B597" s="4" t="s">
        <v>663</v>
      </c>
      <c r="C597" s="4" t="s">
        <v>63</v>
      </c>
      <c r="D597" s="5" t="n">
        <v>135.2134</v>
      </c>
      <c r="E597" s="5" t="n">
        <v>1.03</v>
      </c>
      <c r="F597" s="5" t="n">
        <v>0.00507760191180592</v>
      </c>
      <c r="G597" s="5" t="n">
        <v>1.2613</v>
      </c>
      <c r="H597" s="2" t="n">
        <f aca="false">D597*F597</f>
        <v>0.686559818341778</v>
      </c>
      <c r="I597" s="2" t="n">
        <f aca="false">IF(G597="","",D597*1000000/Inputs!$B$4^2*Inputs!$B$5/G597)</f>
        <v>0.544767588312071</v>
      </c>
      <c r="J597" s="2" t="n">
        <f aca="false">IF(C597="A",Inputs!$B$7,IF(C597="B",Inputs!$B$8,IF(C597="C",Inputs!$B$9,0)))</f>
        <v>1</v>
      </c>
      <c r="K597" s="2" t="n">
        <f aca="false">IF(AND(E597&lt;&gt;"",G597&lt;&gt;"",J597&gt;0),IF(I597&gt;=Inputs!$B$6,1,0),0)</f>
        <v>0</v>
      </c>
      <c r="L597" s="5" t="n">
        <v>1</v>
      </c>
      <c r="M597" s="5" t="n">
        <v>135.213</v>
      </c>
      <c r="N597" s="5" t="n">
        <v>0.69</v>
      </c>
      <c r="O597" s="4" t="s">
        <v>64</v>
      </c>
      <c r="P597" s="2" t="n">
        <f aca="false">IF(K597=1,J597/G597^2,0)</f>
        <v>0</v>
      </c>
      <c r="Q597" s="2" t="n">
        <f aca="false">IF(K597=1,((E597-Result!$B$7*D597)/G597)^2,0)</f>
        <v>0</v>
      </c>
    </row>
    <row r="598" customFormat="false" ht="15" hidden="false" customHeight="false" outlineLevel="0" collapsed="false">
      <c r="A598" s="4" t="s">
        <v>37</v>
      </c>
      <c r="B598" s="4" t="s">
        <v>664</v>
      </c>
      <c r="C598" s="4" t="s">
        <v>63</v>
      </c>
      <c r="D598" s="5" t="n">
        <v>240.7872</v>
      </c>
      <c r="E598" s="5" t="n">
        <v>1.02</v>
      </c>
      <c r="F598" s="5" t="n">
        <v>0.00507757006814893</v>
      </c>
      <c r="G598" s="5" t="n">
        <v>1.2613</v>
      </c>
      <c r="H598" s="2" t="n">
        <f aca="false">D598*F598</f>
        <v>1.22261387951339</v>
      </c>
      <c r="I598" s="2" t="n">
        <f aca="false">IF(G598="","",D598*1000000/Inputs!$B$4^2*Inputs!$B$5/G598)</f>
        <v>0.970118806571067</v>
      </c>
      <c r="J598" s="2" t="n">
        <f aca="false">IF(C598="A",Inputs!$B$7,IF(C598="B",Inputs!$B$8,IF(C598="C",Inputs!$B$9,0)))</f>
        <v>1</v>
      </c>
      <c r="K598" s="2" t="n">
        <f aca="false">IF(AND(E598&lt;&gt;"",G598&lt;&gt;"",J598&gt;0),IF(I598&gt;=Inputs!$B$6,1,0),0)</f>
        <v>0</v>
      </c>
      <c r="L598" s="5" t="n">
        <v>0</v>
      </c>
      <c r="M598" s="5" t="n">
        <v>240.7863</v>
      </c>
      <c r="N598" s="5" t="n">
        <v>1.22</v>
      </c>
      <c r="O598" s="4" t="s">
        <v>64</v>
      </c>
      <c r="P598" s="2" t="n">
        <f aca="false">IF(K598=1,J598/G598^2,0)</f>
        <v>0</v>
      </c>
      <c r="Q598" s="2" t="n">
        <f aca="false">IF(K598=1,((E598-Result!$B$7*D598)/G598)^2,0)</f>
        <v>0</v>
      </c>
    </row>
    <row r="599" customFormat="false" ht="15" hidden="false" customHeight="false" outlineLevel="0" collapsed="false">
      <c r="A599" s="4" t="s">
        <v>37</v>
      </c>
      <c r="B599" s="4" t="s">
        <v>665</v>
      </c>
      <c r="C599" s="4" t="s">
        <v>63</v>
      </c>
      <c r="D599" s="5" t="n">
        <v>384.709</v>
      </c>
      <c r="E599" s="5" t="n">
        <v>0.84</v>
      </c>
      <c r="F599" s="5" t="n">
        <v>0.00507751902898955</v>
      </c>
      <c r="G599" s="5" t="n">
        <v>1.2613</v>
      </c>
      <c r="H599" s="2" t="n">
        <f aca="false">D599*F599</f>
        <v>1.95336726812354</v>
      </c>
      <c r="I599" s="2" t="n">
        <f aca="false">IF(G599="","",D599*1000000/Inputs!$B$4^2*Inputs!$B$5/G599)</f>
        <v>1.54997207474961</v>
      </c>
      <c r="J599" s="2" t="n">
        <f aca="false">IF(C599="A",Inputs!$B$7,IF(C599="B",Inputs!$B$8,IF(C599="C",Inputs!$B$9,0)))</f>
        <v>1</v>
      </c>
      <c r="K599" s="2" t="n">
        <f aca="false">IF(AND(E599&lt;&gt;"",G599&lt;&gt;"",J599&gt;0),IF(I599&gt;=Inputs!$B$6,1,0),0)</f>
        <v>0</v>
      </c>
      <c r="L599" s="5" t="n">
        <v>1</v>
      </c>
      <c r="M599" s="5" t="n">
        <v>384.7078</v>
      </c>
      <c r="N599" s="5" t="n">
        <v>1.95</v>
      </c>
      <c r="O599" s="4" t="s">
        <v>64</v>
      </c>
      <c r="P599" s="2" t="n">
        <f aca="false">IF(K599=1,J599/G599^2,0)</f>
        <v>0</v>
      </c>
      <c r="Q599" s="2" t="n">
        <f aca="false">IF(K599=1,((E599-Result!$B$7*D599)/G599)^2,0)</f>
        <v>0</v>
      </c>
    </row>
    <row r="600" customFormat="false" ht="15" hidden="false" customHeight="false" outlineLevel="0" collapsed="false">
      <c r="A600" s="4" t="s">
        <v>37</v>
      </c>
      <c r="B600" s="4" t="s">
        <v>666</v>
      </c>
      <c r="C600" s="4" t="s">
        <v>63</v>
      </c>
      <c r="D600" s="5" t="n">
        <v>276.0523</v>
      </c>
      <c r="E600" s="5" t="n">
        <v>3.41</v>
      </c>
      <c r="F600" s="5" t="n">
        <v>0.005077507126156</v>
      </c>
      <c r="G600" s="5" t="n">
        <v>1.2613</v>
      </c>
      <c r="H600" s="2" t="n">
        <f aca="false">D600*F600</f>
        <v>1.40165752044175</v>
      </c>
      <c r="I600" s="2" t="n">
        <f aca="false">IF(G600="","",D600*1000000/Inputs!$B$4^2*Inputs!$B$5/G600)</f>
        <v>1.11220001655901</v>
      </c>
      <c r="J600" s="2" t="n">
        <f aca="false">IF(C600="A",Inputs!$B$7,IF(C600="B",Inputs!$B$8,IF(C600="C",Inputs!$B$9,0)))</f>
        <v>1</v>
      </c>
      <c r="K600" s="2" t="n">
        <f aca="false">IF(AND(E600&lt;&gt;"",G600&lt;&gt;"",J600&gt;0),IF(I600&gt;=Inputs!$B$6,1,0),0)</f>
        <v>0</v>
      </c>
      <c r="L600" s="5" t="n">
        <v>1</v>
      </c>
      <c r="M600" s="5" t="n">
        <v>276.0513</v>
      </c>
      <c r="N600" s="5" t="n">
        <v>1.4</v>
      </c>
      <c r="O600" s="4" t="s">
        <v>64</v>
      </c>
      <c r="P600" s="2" t="n">
        <f aca="false">IF(K600=1,J600/G600^2,0)</f>
        <v>0</v>
      </c>
      <c r="Q600" s="2" t="n">
        <f aca="false">IF(K600=1,((E600-Result!$B$7*D600)/G600)^2,0)</f>
        <v>0</v>
      </c>
    </row>
    <row r="601" customFormat="false" ht="15" hidden="false" customHeight="false" outlineLevel="0" collapsed="false">
      <c r="A601" s="4" t="s">
        <v>37</v>
      </c>
      <c r="B601" s="4" t="s">
        <v>667</v>
      </c>
      <c r="C601" s="4" t="s">
        <v>63</v>
      </c>
      <c r="D601" s="5" t="n">
        <v>318.2472</v>
      </c>
      <c r="E601" s="5" t="n">
        <v>2.56</v>
      </c>
      <c r="F601" s="5" t="n">
        <v>0.00507750312110084</v>
      </c>
      <c r="G601" s="5" t="n">
        <v>1.2613</v>
      </c>
      <c r="H601" s="2" t="n">
        <f aca="false">D601*F601</f>
        <v>1.6159011512816</v>
      </c>
      <c r="I601" s="2" t="n">
        <f aca="false">IF(G601="","",D601*1000000/Inputs!$B$4^2*Inputs!$B$5/G601)</f>
        <v>1.28220102172617</v>
      </c>
      <c r="J601" s="2" t="n">
        <f aca="false">IF(C601="A",Inputs!$B$7,IF(C601="B",Inputs!$B$8,IF(C601="C",Inputs!$B$9,0)))</f>
        <v>1</v>
      </c>
      <c r="K601" s="2" t="n">
        <f aca="false">IF(AND(E601&lt;&gt;"",G601&lt;&gt;"",J601&gt;0),IF(I601&gt;=Inputs!$B$6,1,0),0)</f>
        <v>0</v>
      </c>
      <c r="L601" s="5" t="n">
        <v>0</v>
      </c>
      <c r="M601" s="5" t="n">
        <v>318.246</v>
      </c>
      <c r="N601" s="5" t="n">
        <v>1.61</v>
      </c>
      <c r="O601" s="4" t="s">
        <v>64</v>
      </c>
      <c r="P601" s="2" t="n">
        <f aca="false">IF(K601=1,J601/G601^2,0)</f>
        <v>0</v>
      </c>
      <c r="Q601" s="2" t="n">
        <f aca="false">IF(K601=1,((E601-Result!$B$7*D601)/G601)^2,0)</f>
        <v>0</v>
      </c>
    </row>
    <row r="602" customFormat="false" ht="15" hidden="false" customHeight="false" outlineLevel="0" collapsed="false">
      <c r="A602" s="4" t="s">
        <v>37</v>
      </c>
      <c r="B602" s="4" t="s">
        <v>668</v>
      </c>
      <c r="C602" s="4" t="s">
        <v>63</v>
      </c>
      <c r="D602" s="5" t="n">
        <v>198.5919</v>
      </c>
      <c r="E602" s="5" t="n">
        <v>1.87</v>
      </c>
      <c r="F602" s="5" t="n">
        <v>0.00507759001523168</v>
      </c>
      <c r="G602" s="5" t="n">
        <v>1.2613</v>
      </c>
      <c r="H602" s="2" t="n">
        <f aca="false">D602*F602</f>
        <v>1.00836824854589</v>
      </c>
      <c r="I602" s="2" t="n">
        <f aca="false">IF(G602="","",D602*1000000/Inputs!$B$4^2*Inputs!$B$5/G602)</f>
        <v>0.80011618982521</v>
      </c>
      <c r="J602" s="2" t="n">
        <f aca="false">IF(C602="A",Inputs!$B$7,IF(C602="B",Inputs!$B$8,IF(C602="C",Inputs!$B$9,0)))</f>
        <v>1</v>
      </c>
      <c r="K602" s="2" t="n">
        <f aca="false">IF(AND(E602&lt;&gt;"",G602&lt;&gt;"",J602&gt;0),IF(I602&gt;=Inputs!$B$6,1,0),0)</f>
        <v>0</v>
      </c>
      <c r="L602" s="5" t="n">
        <v>0</v>
      </c>
      <c r="M602" s="5" t="n">
        <v>198.5915</v>
      </c>
      <c r="N602" s="5" t="n">
        <v>1.01</v>
      </c>
      <c r="O602" s="4" t="s">
        <v>64</v>
      </c>
      <c r="P602" s="2" t="n">
        <f aca="false">IF(K602=1,J602/G602^2,0)</f>
        <v>0</v>
      </c>
      <c r="Q602" s="2" t="n">
        <f aca="false">IF(K602=1,((E602-Result!$B$7*D602)/G602)^2,0)</f>
        <v>0</v>
      </c>
    </row>
    <row r="603" customFormat="false" ht="15" hidden="false" customHeight="false" outlineLevel="0" collapsed="false">
      <c r="A603" s="4" t="s">
        <v>37</v>
      </c>
      <c r="B603" s="4" t="s">
        <v>669</v>
      </c>
      <c r="C603" s="4" t="s">
        <v>63</v>
      </c>
      <c r="D603" s="5" t="n">
        <v>173.2766</v>
      </c>
      <c r="E603" s="5" t="n">
        <v>0.32</v>
      </c>
      <c r="F603" s="5" t="n">
        <v>0.00507759727875356</v>
      </c>
      <c r="G603" s="5" t="n">
        <v>1.2613</v>
      </c>
      <c r="H603" s="2" t="n">
        <f aca="false">D603*F603</f>
        <v>0.879828792631669</v>
      </c>
      <c r="I603" s="2" t="n">
        <f aca="false">IF(G603="","",D603*1000000/Inputs!$B$4^2*Inputs!$B$5/G603)</f>
        <v>0.698122194197583</v>
      </c>
      <c r="J603" s="2" t="n">
        <f aca="false">IF(C603="A",Inputs!$B$7,IF(C603="B",Inputs!$B$8,IF(C603="C",Inputs!$B$9,0)))</f>
        <v>1</v>
      </c>
      <c r="K603" s="2" t="n">
        <f aca="false">IF(AND(E603&lt;&gt;"",G603&lt;&gt;"",J603&gt;0),IF(I603&gt;=Inputs!$B$6,1,0),0)</f>
        <v>0</v>
      </c>
      <c r="L603" s="5" t="n">
        <v>0</v>
      </c>
      <c r="M603" s="5" t="n">
        <v>173.2758</v>
      </c>
      <c r="N603" s="5" t="n">
        <v>0.87</v>
      </c>
      <c r="O603" s="4" t="s">
        <v>64</v>
      </c>
      <c r="P603" s="2" t="n">
        <f aca="false">IF(K603=1,J603/G603^2,0)</f>
        <v>0</v>
      </c>
      <c r="Q603" s="2" t="n">
        <f aca="false">IF(K603=1,((E603-Result!$B$7*D603)/G603)^2,0)</f>
        <v>0</v>
      </c>
    </row>
    <row r="604" customFormat="false" ht="15" hidden="false" customHeight="false" outlineLevel="0" collapsed="false">
      <c r="A604" s="4" t="s">
        <v>37</v>
      </c>
      <c r="B604" s="4" t="s">
        <v>670</v>
      </c>
      <c r="C604" s="4" t="s">
        <v>63</v>
      </c>
      <c r="D604" s="5" t="n">
        <v>237.6964</v>
      </c>
      <c r="E604" s="5" t="n">
        <v>3.14</v>
      </c>
      <c r="F604" s="5" t="n">
        <v>0.00507751038862647</v>
      </c>
      <c r="G604" s="5" t="n">
        <v>1.2613</v>
      </c>
      <c r="H604" s="2" t="n">
        <f aca="false">D604*F604</f>
        <v>1.20690594033911</v>
      </c>
      <c r="I604" s="2" t="n">
        <f aca="false">IF(G604="","",D604*1000000/Inputs!$B$4^2*Inputs!$B$5/G604)</f>
        <v>0.957666137960153</v>
      </c>
      <c r="J604" s="2" t="n">
        <f aca="false">IF(C604="A",Inputs!$B$7,IF(C604="B",Inputs!$B$8,IF(C604="C",Inputs!$B$9,0)))</f>
        <v>1</v>
      </c>
      <c r="K604" s="2" t="n">
        <f aca="false">IF(AND(E604&lt;&gt;"",G604&lt;&gt;"",J604&gt;0),IF(I604&gt;=Inputs!$B$6,1,0),0)</f>
        <v>0</v>
      </c>
      <c r="L604" s="5" t="n">
        <v>0</v>
      </c>
      <c r="M604" s="5" t="n">
        <v>237.6956</v>
      </c>
      <c r="N604" s="5" t="n">
        <v>1.21</v>
      </c>
      <c r="O604" s="4" t="s">
        <v>64</v>
      </c>
      <c r="P604" s="2" t="n">
        <f aca="false">IF(K604=1,J604/G604^2,0)</f>
        <v>0</v>
      </c>
      <c r="Q604" s="2" t="n">
        <f aca="false">IF(K604=1,((E604-Result!$B$7*D604)/G604)^2,0)</f>
        <v>0</v>
      </c>
    </row>
    <row r="605" customFormat="false" ht="15" hidden="false" customHeight="false" outlineLevel="0" collapsed="false">
      <c r="A605" s="4" t="s">
        <v>37</v>
      </c>
      <c r="B605" s="4" t="s">
        <v>671</v>
      </c>
      <c r="C605" s="4" t="s">
        <v>63</v>
      </c>
      <c r="D605" s="5" t="n">
        <v>211.6323</v>
      </c>
      <c r="E605" s="5" t="n">
        <v>0.59</v>
      </c>
      <c r="F605" s="5" t="n">
        <v>0.00507757733259447</v>
      </c>
      <c r="G605" s="5" t="n">
        <v>1.2613</v>
      </c>
      <c r="H605" s="2" t="n">
        <f aca="false">D605*F605</f>
        <v>1.07457936932483</v>
      </c>
      <c r="I605" s="2" t="n">
        <f aca="false">IF(G605="","",D605*1000000/Inputs!$B$4^2*Inputs!$B$5/G605)</f>
        <v>0.852655267007092</v>
      </c>
      <c r="J605" s="2" t="n">
        <f aca="false">IF(C605="A",Inputs!$B$7,IF(C605="B",Inputs!$B$8,IF(C605="C",Inputs!$B$9,0)))</f>
        <v>1</v>
      </c>
      <c r="K605" s="2" t="n">
        <f aca="false">IF(AND(E605&lt;&gt;"",G605&lt;&gt;"",J605&gt;0),IF(I605&gt;=Inputs!$B$6,1,0),0)</f>
        <v>0</v>
      </c>
      <c r="L605" s="5" t="n">
        <v>0</v>
      </c>
      <c r="M605" s="5" t="n">
        <v>211.6315</v>
      </c>
      <c r="N605" s="5" t="n">
        <v>1.07</v>
      </c>
      <c r="O605" s="4" t="s">
        <v>64</v>
      </c>
      <c r="P605" s="2" t="n">
        <f aca="false">IF(K605=1,J605/G605^2,0)</f>
        <v>0</v>
      </c>
      <c r="Q605" s="2" t="n">
        <f aca="false">IF(K605=1,((E605-Result!$B$7*D605)/G605)^2,0)</f>
        <v>0</v>
      </c>
    </row>
    <row r="606" customFormat="false" ht="15" hidden="false" customHeight="false" outlineLevel="0" collapsed="false">
      <c r="A606" s="4" t="s">
        <v>37</v>
      </c>
      <c r="B606" s="4" t="s">
        <v>672</v>
      </c>
      <c r="C606" s="4" t="s">
        <v>63</v>
      </c>
      <c r="D606" s="5" t="n">
        <v>181.0021</v>
      </c>
      <c r="E606" s="5" t="n">
        <v>1.25</v>
      </c>
      <c r="F606" s="5" t="n">
        <v>0.005077526414564</v>
      </c>
      <c r="G606" s="5" t="n">
        <v>1.2613</v>
      </c>
      <c r="H606" s="2" t="n">
        <f aca="false">D606*F606</f>
        <v>0.919042943841555</v>
      </c>
      <c r="I606" s="2" t="n">
        <f aca="false">IF(G606="","",D606*1000000/Inputs!$B$4^2*Inputs!$B$5/G606)</f>
        <v>0.729247822304744</v>
      </c>
      <c r="J606" s="2" t="n">
        <f aca="false">IF(C606="A",Inputs!$B$7,IF(C606="B",Inputs!$B$8,IF(C606="C",Inputs!$B$9,0)))</f>
        <v>1</v>
      </c>
      <c r="K606" s="2" t="n">
        <f aca="false">IF(AND(E606&lt;&gt;"",G606&lt;&gt;"",J606&gt;0),IF(I606&gt;=Inputs!$B$6,1,0),0)</f>
        <v>0</v>
      </c>
      <c r="L606" s="5" t="n">
        <v>0</v>
      </c>
      <c r="M606" s="5" t="n">
        <v>181.0015</v>
      </c>
      <c r="N606" s="5" t="n">
        <v>0.92</v>
      </c>
      <c r="O606" s="4" t="s">
        <v>64</v>
      </c>
      <c r="P606" s="2" t="n">
        <f aca="false">IF(K606=1,J606/G606^2,0)</f>
        <v>0</v>
      </c>
      <c r="Q606" s="2" t="n">
        <f aca="false">IF(K606=1,((E606-Result!$B$7*D606)/G606)^2,0)</f>
        <v>0</v>
      </c>
    </row>
    <row r="607" customFormat="false" ht="15" hidden="false" customHeight="false" outlineLevel="0" collapsed="false">
      <c r="A607" s="4" t="s">
        <v>37</v>
      </c>
      <c r="B607" s="4" t="s">
        <v>673</v>
      </c>
      <c r="C607" s="4" t="s">
        <v>63</v>
      </c>
      <c r="D607" s="5" t="n">
        <v>162.594</v>
      </c>
      <c r="E607" s="5" t="n">
        <v>1.21</v>
      </c>
      <c r="F607" s="5" t="n">
        <v>0.00507752315242338</v>
      </c>
      <c r="G607" s="5" t="n">
        <v>1.2613</v>
      </c>
      <c r="H607" s="2" t="n">
        <f aca="false">D607*F607</f>
        <v>0.825574799445128</v>
      </c>
      <c r="I607" s="2" t="n">
        <f aca="false">IF(G607="","",D607*1000000/Inputs!$B$4^2*Inputs!$B$5/G607)</f>
        <v>0.655082567659809</v>
      </c>
      <c r="J607" s="2" t="n">
        <f aca="false">IF(C607="A",Inputs!$B$7,IF(C607="B",Inputs!$B$8,IF(C607="C",Inputs!$B$9,0)))</f>
        <v>1</v>
      </c>
      <c r="K607" s="2" t="n">
        <f aca="false">IF(AND(E607&lt;&gt;"",G607&lt;&gt;"",J607&gt;0),IF(I607&gt;=Inputs!$B$6,1,0),0)</f>
        <v>0</v>
      </c>
      <c r="L607" s="5" t="n">
        <v>1</v>
      </c>
      <c r="M607" s="5" t="n">
        <v>162.5938</v>
      </c>
      <c r="N607" s="5" t="n">
        <v>0.83</v>
      </c>
      <c r="O607" s="4" t="s">
        <v>64</v>
      </c>
      <c r="P607" s="2" t="n">
        <f aca="false">IF(K607=1,J607/G607^2,0)</f>
        <v>0</v>
      </c>
      <c r="Q607" s="2" t="n">
        <f aca="false">IF(K607=1,((E607-Result!$B$7*D607)/G607)^2,0)</f>
        <v>0</v>
      </c>
    </row>
    <row r="608" customFormat="false" ht="15" hidden="false" customHeight="false" outlineLevel="0" collapsed="false">
      <c r="A608" s="4" t="s">
        <v>37</v>
      </c>
      <c r="B608" s="4" t="s">
        <v>674</v>
      </c>
      <c r="C608" s="4" t="s">
        <v>63</v>
      </c>
      <c r="D608" s="5" t="n">
        <v>191.6842</v>
      </c>
      <c r="E608" s="5" t="n">
        <v>0.36</v>
      </c>
      <c r="F608" s="5" t="n">
        <v>0.0050775933517282</v>
      </c>
      <c r="G608" s="5" t="n">
        <v>1.2613</v>
      </c>
      <c r="H608" s="2" t="n">
        <f aca="false">D608*F608</f>
        <v>0.973294419551339</v>
      </c>
      <c r="I608" s="2" t="n">
        <f aca="false">IF(G608="","",D608*1000000/Inputs!$B$4^2*Inputs!$B$5/G608)</f>
        <v>0.772285434369143</v>
      </c>
      <c r="J608" s="2" t="n">
        <f aca="false">IF(C608="A",Inputs!$B$7,IF(C608="B",Inputs!$B$8,IF(C608="C",Inputs!$B$9,0)))</f>
        <v>1</v>
      </c>
      <c r="K608" s="2" t="n">
        <f aca="false">IF(AND(E608&lt;&gt;"",G608&lt;&gt;"",J608&gt;0),IF(I608&gt;=Inputs!$B$6,1,0),0)</f>
        <v>0</v>
      </c>
      <c r="L608" s="5" t="n">
        <v>1</v>
      </c>
      <c r="M608" s="5" t="n">
        <v>191.6835</v>
      </c>
      <c r="N608" s="5" t="n">
        <v>0.97</v>
      </c>
      <c r="O608" s="4" t="s">
        <v>64</v>
      </c>
      <c r="P608" s="2" t="n">
        <f aca="false">IF(K608=1,J608/G608^2,0)</f>
        <v>0</v>
      </c>
      <c r="Q608" s="2" t="n">
        <f aca="false">IF(K608=1,((E608-Result!$B$7*D608)/G608)^2,0)</f>
        <v>0</v>
      </c>
    </row>
    <row r="609" customFormat="false" ht="15" hidden="false" customHeight="false" outlineLevel="0" collapsed="false">
      <c r="A609" s="4" t="s">
        <v>37</v>
      </c>
      <c r="B609" s="4" t="s">
        <v>675</v>
      </c>
      <c r="C609" s="4" t="s">
        <v>63</v>
      </c>
      <c r="D609" s="5" t="n">
        <v>352.6788</v>
      </c>
      <c r="E609" s="5" t="n">
        <v>1.25</v>
      </c>
      <c r="F609" s="5" t="n">
        <v>0.00507762509624479</v>
      </c>
      <c r="G609" s="5" t="n">
        <v>1.2613</v>
      </c>
      <c r="H609" s="2" t="n">
        <f aca="false">D609*F609</f>
        <v>1.7907707257935</v>
      </c>
      <c r="I609" s="2" t="n">
        <f aca="false">IF(G609="","",D609*1000000/Inputs!$B$4^2*Inputs!$B$5/G609)</f>
        <v>1.42092410459907</v>
      </c>
      <c r="J609" s="2" t="n">
        <f aca="false">IF(C609="A",Inputs!$B$7,IF(C609="B",Inputs!$B$8,IF(C609="C",Inputs!$B$9,0)))</f>
        <v>1</v>
      </c>
      <c r="K609" s="2" t="n">
        <f aca="false">IF(AND(E609&lt;&gt;"",G609&lt;&gt;"",J609&gt;0),IF(I609&gt;=Inputs!$B$6,1,0),0)</f>
        <v>0</v>
      </c>
      <c r="L609" s="5" t="n">
        <v>0</v>
      </c>
      <c r="M609" s="5" t="n">
        <v>352.6779</v>
      </c>
      <c r="N609" s="5" t="n">
        <v>1.79</v>
      </c>
      <c r="O609" s="4" t="s">
        <v>64</v>
      </c>
      <c r="P609" s="2" t="n">
        <f aca="false">IF(K609=1,J609/G609^2,0)</f>
        <v>0</v>
      </c>
      <c r="Q609" s="2" t="n">
        <f aca="false">IF(K609=1,((E609-Result!$B$7*D609)/G609)^2,0)</f>
        <v>0</v>
      </c>
    </row>
    <row r="610" customFormat="false" ht="15" hidden="false" customHeight="false" outlineLevel="0" collapsed="false">
      <c r="A610" s="4" t="s">
        <v>37</v>
      </c>
      <c r="B610" s="4" t="s">
        <v>676</v>
      </c>
      <c r="C610" s="4"/>
      <c r="D610" s="5" t="n">
        <v>269.054</v>
      </c>
      <c r="E610" s="5"/>
      <c r="F610" s="5" t="n">
        <v>0.00507755491112668</v>
      </c>
      <c r="G610" s="5" t="n">
        <v>1.2613</v>
      </c>
      <c r="H610" s="2" t="n">
        <f aca="false">D610*F610</f>
        <v>1.36613645905828</v>
      </c>
      <c r="I610" s="2" t="n">
        <f aca="false">IF(G610="","",D610*1000000/Inputs!$B$4^2*Inputs!$B$5/G610)</f>
        <v>1.08400423852751</v>
      </c>
      <c r="J610" s="2" t="n">
        <f aca="false">IF(C610="A",Inputs!$B$7,IF(C610="B",Inputs!$B$8,IF(C610="C",Inputs!$B$9,0)))</f>
        <v>0</v>
      </c>
      <c r="K610" s="2" t="n">
        <f aca="false">IF(AND(E610&lt;&gt;"",G610&lt;&gt;"",J610&gt;0),IF(I610&gt;=Inputs!$B$6,1,0),0)</f>
        <v>0</v>
      </c>
      <c r="L610" s="5" t="n">
        <v>0</v>
      </c>
      <c r="M610" s="5" t="n">
        <v>269.054</v>
      </c>
      <c r="N610" s="5" t="n">
        <v>1.37</v>
      </c>
      <c r="O610" s="4" t="s">
        <v>64</v>
      </c>
      <c r="P610" s="2" t="n">
        <f aca="false">IF(K610=1,J610/G610^2,0)</f>
        <v>0</v>
      </c>
      <c r="Q610" s="2" t="n">
        <f aca="false">IF(K610=1,((E610-Result!$B$7*D610)/G610)^2,0)</f>
        <v>0</v>
      </c>
    </row>
    <row r="611" customFormat="false" ht="15" hidden="false" customHeight="false" outlineLevel="0" collapsed="false">
      <c r="A611" s="4" t="s">
        <v>37</v>
      </c>
      <c r="B611" s="4" t="s">
        <v>677</v>
      </c>
      <c r="C611" s="4"/>
      <c r="D611" s="5" t="n">
        <v>264.6254</v>
      </c>
      <c r="E611" s="5"/>
      <c r="F611" s="5" t="n">
        <v>0.00507762902247217</v>
      </c>
      <c r="G611" s="5" t="n">
        <v>1.2613</v>
      </c>
      <c r="H611" s="2" t="n">
        <f aca="false">D611*F611</f>
        <v>1.34366961112331</v>
      </c>
      <c r="I611" s="2" t="n">
        <f aca="false">IF(G611="","",D611*1000000/Inputs!$B$4^2*Inputs!$B$5/G611)</f>
        <v>1.06616164495617</v>
      </c>
      <c r="J611" s="2" t="n">
        <f aca="false">IF(C611="A",Inputs!$B$7,IF(C611="B",Inputs!$B$8,IF(C611="C",Inputs!$B$9,0)))</f>
        <v>0</v>
      </c>
      <c r="K611" s="2" t="n">
        <f aca="false">IF(AND(E611&lt;&gt;"",G611&lt;&gt;"",J611&gt;0),IF(I611&gt;=Inputs!$B$6,1,0),0)</f>
        <v>0</v>
      </c>
      <c r="L611" s="5" t="n">
        <v>0</v>
      </c>
      <c r="M611" s="5" t="n">
        <v>264.6254</v>
      </c>
      <c r="N611" s="5" t="n">
        <v>1.34</v>
      </c>
      <c r="O611" s="4" t="s">
        <v>64</v>
      </c>
      <c r="P611" s="2" t="n">
        <f aca="false">IF(K611=1,J611/G611^2,0)</f>
        <v>0</v>
      </c>
      <c r="Q611" s="2" t="n">
        <f aca="false">IF(K611=1,((E611-Result!$B$7*D611)/G611)^2,0)</f>
        <v>0</v>
      </c>
    </row>
    <row r="612" customFormat="false" ht="15" hidden="false" customHeight="false" outlineLevel="0" collapsed="false">
      <c r="A612" s="4" t="s">
        <v>37</v>
      </c>
      <c r="B612" s="4" t="s">
        <v>678</v>
      </c>
      <c r="C612" s="4" t="s">
        <v>63</v>
      </c>
      <c r="D612" s="5" t="n">
        <v>362.1523</v>
      </c>
      <c r="E612" s="5" t="n">
        <v>0.48</v>
      </c>
      <c r="F612" s="5" t="n">
        <v>0.00507755202116582</v>
      </c>
      <c r="G612" s="5" t="n">
        <v>1.2613</v>
      </c>
      <c r="H612" s="2" t="n">
        <f aca="false">D612*F612</f>
        <v>1.83884714283485</v>
      </c>
      <c r="I612" s="2" t="n">
        <f aca="false">IF(G612="","",D612*1000000/Inputs!$B$4^2*Inputs!$B$5/G612)</f>
        <v>1.45909233162297</v>
      </c>
      <c r="J612" s="2" t="n">
        <f aca="false">IF(C612="A",Inputs!$B$7,IF(C612="B",Inputs!$B$8,IF(C612="C",Inputs!$B$9,0)))</f>
        <v>1</v>
      </c>
      <c r="K612" s="2" t="n">
        <f aca="false">IF(AND(E612&lt;&gt;"",G612&lt;&gt;"",J612&gt;0),IF(I612&gt;=Inputs!$B$6,1,0),0)</f>
        <v>0</v>
      </c>
      <c r="L612" s="5" t="n">
        <v>0</v>
      </c>
      <c r="M612" s="5" t="n">
        <v>362.151</v>
      </c>
      <c r="N612" s="5" t="n">
        <v>1.84</v>
      </c>
      <c r="O612" s="4" t="s">
        <v>64</v>
      </c>
      <c r="P612" s="2" t="n">
        <f aca="false">IF(K612=1,J612/G612^2,0)</f>
        <v>0</v>
      </c>
      <c r="Q612" s="2" t="n">
        <f aca="false">IF(K612=1,((E612-Result!$B$7*D612)/G612)^2,0)</f>
        <v>0</v>
      </c>
    </row>
    <row r="613" customFormat="false" ht="15" hidden="false" customHeight="false" outlineLevel="0" collapsed="false">
      <c r="A613" s="4" t="s">
        <v>37</v>
      </c>
      <c r="B613" s="4" t="s">
        <v>679</v>
      </c>
      <c r="C613" s="4" t="s">
        <v>63</v>
      </c>
      <c r="D613" s="5" t="n">
        <v>264.5829</v>
      </c>
      <c r="E613" s="5" t="n">
        <v>1.42</v>
      </c>
      <c r="F613" s="5" t="n">
        <v>0.0050775235240817</v>
      </c>
      <c r="G613" s="5" t="n">
        <v>1.2613</v>
      </c>
      <c r="H613" s="2" t="n">
        <f aca="false">D613*F613</f>
        <v>1.34342589881976</v>
      </c>
      <c r="I613" s="2" t="n">
        <f aca="false">IF(G613="","",D613*1000000/Inputs!$B$4^2*Inputs!$B$5/G613)</f>
        <v>1.06599041471935</v>
      </c>
      <c r="J613" s="2" t="n">
        <f aca="false">IF(C613="A",Inputs!$B$7,IF(C613="B",Inputs!$B$8,IF(C613="C",Inputs!$B$9,0)))</f>
        <v>1</v>
      </c>
      <c r="K613" s="2" t="n">
        <f aca="false">IF(AND(E613&lt;&gt;"",G613&lt;&gt;"",J613&gt;0),IF(I613&gt;=Inputs!$B$6,1,0),0)</f>
        <v>0</v>
      </c>
      <c r="L613" s="5" t="n">
        <v>1</v>
      </c>
      <c r="M613" s="5" t="n">
        <v>264.582</v>
      </c>
      <c r="N613" s="5" t="n">
        <v>1.34</v>
      </c>
      <c r="O613" s="4" t="s">
        <v>64</v>
      </c>
      <c r="P613" s="2" t="n">
        <f aca="false">IF(K613=1,J613/G613^2,0)</f>
        <v>0</v>
      </c>
      <c r="Q613" s="2" t="n">
        <f aca="false">IF(K613=1,((E613-Result!$B$7*D613)/G613)^2,0)</f>
        <v>0</v>
      </c>
    </row>
    <row r="614" customFormat="false" ht="15" hidden="false" customHeight="false" outlineLevel="0" collapsed="false">
      <c r="A614" s="4" t="s">
        <v>37</v>
      </c>
      <c r="B614" s="4" t="s">
        <v>680</v>
      </c>
      <c r="C614" s="4" t="s">
        <v>63</v>
      </c>
      <c r="D614" s="5" t="n">
        <v>450.2478</v>
      </c>
      <c r="E614" s="5" t="n">
        <v>0.31</v>
      </c>
      <c r="F614" s="5" t="n">
        <v>0.00507762613387779</v>
      </c>
      <c r="G614" s="5" t="n">
        <v>1.2613</v>
      </c>
      <c r="H614" s="2" t="n">
        <f aca="false">D614*F614</f>
        <v>2.28618999600098</v>
      </c>
      <c r="I614" s="2" t="n">
        <f aca="false">IF(G614="","",D614*1000000/Inputs!$B$4^2*Inputs!$B$5/G614)</f>
        <v>1.81402440992398</v>
      </c>
      <c r="J614" s="2" t="n">
        <f aca="false">IF(C614="A",Inputs!$B$7,IF(C614="B",Inputs!$B$8,IF(C614="C",Inputs!$B$9,0)))</f>
        <v>1</v>
      </c>
      <c r="K614" s="2" t="n">
        <f aca="false">IF(AND(E614&lt;&gt;"",G614&lt;&gt;"",J614&gt;0),IF(I614&gt;=Inputs!$B$6,1,0),0)</f>
        <v>0</v>
      </c>
      <c r="L614" s="5" t="n">
        <v>1</v>
      </c>
      <c r="M614" s="5" t="n">
        <v>450.2469</v>
      </c>
      <c r="N614" s="5" t="n">
        <v>2.29</v>
      </c>
      <c r="O614" s="4" t="s">
        <v>64</v>
      </c>
      <c r="P614" s="2" t="n">
        <f aca="false">IF(K614=1,J614/G614^2,0)</f>
        <v>0</v>
      </c>
      <c r="Q614" s="2" t="n">
        <f aca="false">IF(K614=1,((E614-Result!$B$7*D614)/G614)^2,0)</f>
        <v>0</v>
      </c>
    </row>
    <row r="615" customFormat="false" ht="15" hidden="false" customHeight="false" outlineLevel="0" collapsed="false">
      <c r="A615" s="4" t="s">
        <v>37</v>
      </c>
      <c r="B615" s="4" t="s">
        <v>681</v>
      </c>
      <c r="C615" s="4" t="s">
        <v>63</v>
      </c>
      <c r="D615" s="5" t="n">
        <v>248.0955</v>
      </c>
      <c r="E615" s="5" t="n">
        <v>1.06</v>
      </c>
      <c r="F615" s="5" t="n">
        <v>0.00507758334020363</v>
      </c>
      <c r="G615" s="5" t="n">
        <v>1.2613</v>
      </c>
      <c r="H615" s="2" t="n">
        <f aca="false">D615*F615</f>
        <v>1.25972557757949</v>
      </c>
      <c r="I615" s="2" t="n">
        <f aca="false">IF(G615="","",D615*1000000/Inputs!$B$4^2*Inputs!$B$5/G615)</f>
        <v>0.999563558094667</v>
      </c>
      <c r="J615" s="2" t="n">
        <f aca="false">IF(C615="A",Inputs!$B$7,IF(C615="B",Inputs!$B$8,IF(C615="C",Inputs!$B$9,0)))</f>
        <v>1</v>
      </c>
      <c r="K615" s="2" t="n">
        <f aca="false">IF(AND(E615&lt;&gt;"",G615&lt;&gt;"",J615&gt;0),IF(I615&gt;=Inputs!$B$6,1,0),0)</f>
        <v>0</v>
      </c>
      <c r="L615" s="5" t="n">
        <v>0</v>
      </c>
      <c r="M615" s="5" t="n">
        <v>248.0948</v>
      </c>
      <c r="N615" s="5" t="n">
        <v>1.26</v>
      </c>
      <c r="O615" s="4" t="s">
        <v>64</v>
      </c>
      <c r="P615" s="2" t="n">
        <f aca="false">IF(K615=1,J615/G615^2,0)</f>
        <v>0</v>
      </c>
      <c r="Q615" s="2" t="n">
        <f aca="false">IF(K615=1,((E615-Result!$B$7*D615)/G615)^2,0)</f>
        <v>0</v>
      </c>
    </row>
    <row r="616" customFormat="false" ht="15" hidden="false" customHeight="false" outlineLevel="0" collapsed="false">
      <c r="A616" s="4" t="s">
        <v>37</v>
      </c>
      <c r="B616" s="4" t="s">
        <v>682</v>
      </c>
      <c r="C616" s="4" t="s">
        <v>63</v>
      </c>
      <c r="D616" s="5" t="n">
        <v>551.3154</v>
      </c>
      <c r="E616" s="5" t="n">
        <v>1.85</v>
      </c>
      <c r="F616" s="5" t="n">
        <v>0.00507764370864466</v>
      </c>
      <c r="G616" s="5" t="n">
        <v>1.2613</v>
      </c>
      <c r="H616" s="2" t="n">
        <f aca="false">D616*F616</f>
        <v>2.79938317228892</v>
      </c>
      <c r="I616" s="2" t="n">
        <f aca="false">IF(G616="","",D616*1000000/Inputs!$B$4^2*Inputs!$B$5/G616)</f>
        <v>2.22122038834394</v>
      </c>
      <c r="J616" s="2" t="n">
        <f aca="false">IF(C616="A",Inputs!$B$7,IF(C616="B",Inputs!$B$8,IF(C616="C",Inputs!$B$9,0)))</f>
        <v>1</v>
      </c>
      <c r="K616" s="2" t="n">
        <f aca="false">IF(AND(E616&lt;&gt;"",G616&lt;&gt;"",J616&gt;0),IF(I616&gt;=Inputs!$B$6,1,0),0)</f>
        <v>1</v>
      </c>
      <c r="L616" s="5" t="n">
        <v>1</v>
      </c>
      <c r="M616" s="5" t="n">
        <v>551.3145</v>
      </c>
      <c r="N616" s="5" t="n">
        <v>2.8</v>
      </c>
      <c r="O616" s="4" t="s">
        <v>64</v>
      </c>
      <c r="P616" s="2" t="n">
        <f aca="false">IF(K616=1,J616/G616^2,0)</f>
        <v>0.628583835379576</v>
      </c>
      <c r="Q616" s="2" t="n">
        <f aca="false">IF(K616=1,((E616-Result!$B$7*D616)/G616)^2,0)</f>
        <v>0.550890321882765</v>
      </c>
    </row>
    <row r="617" customFormat="false" ht="15" hidden="false" customHeight="false" outlineLevel="0" collapsed="false">
      <c r="A617" s="4" t="s">
        <v>37</v>
      </c>
      <c r="B617" s="4" t="s">
        <v>683</v>
      </c>
      <c r="C617" s="4" t="s">
        <v>63</v>
      </c>
      <c r="D617" s="5" t="n">
        <v>360.179</v>
      </c>
      <c r="E617" s="5" t="n">
        <v>1.96</v>
      </c>
      <c r="F617" s="5" t="n">
        <v>0.00507767397199318</v>
      </c>
      <c r="G617" s="5" t="n">
        <v>1.2613</v>
      </c>
      <c r="H617" s="2" t="n">
        <f aca="false">D617*F617</f>
        <v>1.82887153355853</v>
      </c>
      <c r="I617" s="2" t="n">
        <f aca="false">IF(G617="","",D617*1000000/Inputs!$B$4^2*Inputs!$B$5/G617)</f>
        <v>1.45114201100374</v>
      </c>
      <c r="J617" s="2" t="n">
        <f aca="false">IF(C617="A",Inputs!$B$7,IF(C617="B",Inputs!$B$8,IF(C617="C",Inputs!$B$9,0)))</f>
        <v>1</v>
      </c>
      <c r="K617" s="2" t="n">
        <f aca="false">IF(AND(E617&lt;&gt;"",G617&lt;&gt;"",J617&gt;0),IF(I617&gt;=Inputs!$B$6,1,0),0)</f>
        <v>0</v>
      </c>
      <c r="L617" s="5" t="n">
        <v>0</v>
      </c>
      <c r="M617" s="5" t="n">
        <v>360.178</v>
      </c>
      <c r="N617" s="5" t="n">
        <v>1.83</v>
      </c>
      <c r="O617" s="4" t="s">
        <v>64</v>
      </c>
      <c r="P617" s="2" t="n">
        <f aca="false">IF(K617=1,J617/G617^2,0)</f>
        <v>0</v>
      </c>
      <c r="Q617" s="2" t="n">
        <f aca="false">IF(K617=1,((E617-Result!$B$7*D617)/G617)^2,0)</f>
        <v>0</v>
      </c>
    </row>
    <row r="618" customFormat="false" ht="15" hidden="false" customHeight="false" outlineLevel="0" collapsed="false">
      <c r="A618" s="4" t="s">
        <v>37</v>
      </c>
      <c r="B618" s="4" t="s">
        <v>684</v>
      </c>
      <c r="C618" s="4" t="s">
        <v>63</v>
      </c>
      <c r="D618" s="5" t="n">
        <v>56.9587</v>
      </c>
      <c r="E618" s="5" t="n">
        <v>1.17</v>
      </c>
      <c r="F618" s="5" t="n">
        <v>0.00507757243155642</v>
      </c>
      <c r="G618" s="5" t="n">
        <v>1.2613</v>
      </c>
      <c r="H618" s="2" t="n">
        <f aca="false">D618*F618</f>
        <v>0.289211924857293</v>
      </c>
      <c r="I618" s="2" t="n">
        <f aca="false">IF(G618="","",D618*1000000/Inputs!$B$4^2*Inputs!$B$5/G618)</f>
        <v>0.229483569175768</v>
      </c>
      <c r="J618" s="2" t="n">
        <f aca="false">IF(C618="A",Inputs!$B$7,IF(C618="B",Inputs!$B$8,IF(C618="C",Inputs!$B$9,0)))</f>
        <v>1</v>
      </c>
      <c r="K618" s="2" t="n">
        <f aca="false">IF(AND(E618&lt;&gt;"",G618&lt;&gt;"",J618&gt;0),IF(I618&gt;=Inputs!$B$6,1,0),0)</f>
        <v>0</v>
      </c>
      <c r="L618" s="5" t="n">
        <v>0</v>
      </c>
      <c r="M618" s="5" t="n">
        <v>56.9584</v>
      </c>
      <c r="N618" s="5" t="n">
        <v>0.29</v>
      </c>
      <c r="O618" s="4" t="s">
        <v>64</v>
      </c>
      <c r="P618" s="2" t="n">
        <f aca="false">IF(K618=1,J618/G618^2,0)</f>
        <v>0</v>
      </c>
      <c r="Q618" s="2" t="n">
        <f aca="false">IF(K618=1,((E618-Result!$B$7*D618)/G618)^2,0)</f>
        <v>0</v>
      </c>
    </row>
    <row r="619" customFormat="false" ht="15" hidden="false" customHeight="false" outlineLevel="0" collapsed="false">
      <c r="A619" s="4" t="s">
        <v>37</v>
      </c>
      <c r="B619" s="4" t="s">
        <v>685</v>
      </c>
      <c r="C619" s="4" t="s">
        <v>63</v>
      </c>
      <c r="D619" s="5" t="n">
        <v>263.2401</v>
      </c>
      <c r="E619" s="5" t="n">
        <v>2.91</v>
      </c>
      <c r="F619" s="5" t="n">
        <v>0.00507757362774557</v>
      </c>
      <c r="G619" s="5" t="n">
        <v>1.2613</v>
      </c>
      <c r="H619" s="2" t="n">
        <f aca="false">D619*F619</f>
        <v>1.33662098952511</v>
      </c>
      <c r="I619" s="2" t="n">
        <f aca="false">IF(G619="","",D619*1000000/Inputs!$B$4^2*Inputs!$B$5/G619)</f>
        <v>1.06058034502519</v>
      </c>
      <c r="J619" s="2" t="n">
        <f aca="false">IF(C619="A",Inputs!$B$7,IF(C619="B",Inputs!$B$8,IF(C619="C",Inputs!$B$9,0)))</f>
        <v>1</v>
      </c>
      <c r="K619" s="2" t="n">
        <f aca="false">IF(AND(E619&lt;&gt;"",G619&lt;&gt;"",J619&gt;0),IF(I619&gt;=Inputs!$B$6,1,0),0)</f>
        <v>0</v>
      </c>
      <c r="L619" s="5" t="n">
        <v>1</v>
      </c>
      <c r="M619" s="5" t="n">
        <v>263.2394</v>
      </c>
      <c r="N619" s="5" t="n">
        <v>1.34</v>
      </c>
      <c r="O619" s="4" t="s">
        <v>64</v>
      </c>
      <c r="P619" s="2" t="n">
        <f aca="false">IF(K619=1,J619/G619^2,0)</f>
        <v>0</v>
      </c>
      <c r="Q619" s="2" t="n">
        <f aca="false">IF(K619=1,((E619-Result!$B$7*D619)/G619)^2,0)</f>
        <v>0</v>
      </c>
    </row>
    <row r="620" customFormat="false" ht="15" hidden="false" customHeight="false" outlineLevel="0" collapsed="false">
      <c r="A620" s="4" t="s">
        <v>37</v>
      </c>
      <c r="B620" s="4" t="s">
        <v>686</v>
      </c>
      <c r="C620" s="4" t="s">
        <v>63</v>
      </c>
      <c r="D620" s="5" t="n">
        <v>68.2651</v>
      </c>
      <c r="E620" s="5" t="n">
        <v>-2.5</v>
      </c>
      <c r="F620" s="5" t="n">
        <v>0.00507751323234519</v>
      </c>
      <c r="G620" s="5" t="n">
        <v>1.2613</v>
      </c>
      <c r="H620" s="2" t="n">
        <f aca="false">D620*F620</f>
        <v>0.346616948557368</v>
      </c>
      <c r="I620" s="2" t="n">
        <f aca="false">IF(G620="","",D620*1000000/Inputs!$B$4^2*Inputs!$B$5/G620)</f>
        <v>0.275036452695386</v>
      </c>
      <c r="J620" s="2" t="n">
        <f aca="false">IF(C620="A",Inputs!$B$7,IF(C620="B",Inputs!$B$8,IF(C620="C",Inputs!$B$9,0)))</f>
        <v>1</v>
      </c>
      <c r="K620" s="2" t="n">
        <f aca="false">IF(AND(E620&lt;&gt;"",G620&lt;&gt;"",J620&gt;0),IF(I620&gt;=Inputs!$B$6,1,0),0)</f>
        <v>0</v>
      </c>
      <c r="L620" s="5" t="n">
        <v>0</v>
      </c>
      <c r="M620" s="5" t="n">
        <v>68.2648</v>
      </c>
      <c r="N620" s="5" t="n">
        <v>0.35</v>
      </c>
      <c r="O620" s="4" t="s">
        <v>64</v>
      </c>
      <c r="P620" s="2" t="n">
        <f aca="false">IF(K620=1,J620/G620^2,0)</f>
        <v>0</v>
      </c>
      <c r="Q620" s="2" t="n">
        <f aca="false">IF(K620=1,((E620-Result!$B$7*D620)/G620)^2,0)</f>
        <v>0</v>
      </c>
    </row>
    <row r="621" customFormat="false" ht="15" hidden="false" customHeight="false" outlineLevel="0" collapsed="false">
      <c r="A621" s="4" t="s">
        <v>37</v>
      </c>
      <c r="B621" s="4" t="s">
        <v>687</v>
      </c>
      <c r="C621" s="4" t="s">
        <v>63</v>
      </c>
      <c r="D621" s="5" t="n">
        <v>138.0168</v>
      </c>
      <c r="E621" s="5" t="n">
        <v>4.24</v>
      </c>
      <c r="F621" s="5" t="n">
        <v>0.00507760390469988</v>
      </c>
      <c r="G621" s="5" t="n">
        <v>1.2613</v>
      </c>
      <c r="H621" s="2" t="n">
        <f aca="false">D621*F621</f>
        <v>0.700794642594182</v>
      </c>
      <c r="I621" s="2" t="n">
        <f aca="false">IF(G621="","",D621*1000000/Inputs!$B$4^2*Inputs!$B$5/G621)</f>
        <v>0.556062337627406</v>
      </c>
      <c r="J621" s="2" t="n">
        <f aca="false">IF(C621="A",Inputs!$B$7,IF(C621="B",Inputs!$B$8,IF(C621="C",Inputs!$B$9,0)))</f>
        <v>1</v>
      </c>
      <c r="K621" s="2" t="n">
        <f aca="false">IF(AND(E621&lt;&gt;"",G621&lt;&gt;"",J621&gt;0),IF(I621&gt;=Inputs!$B$6,1,0),0)</f>
        <v>0</v>
      </c>
      <c r="L621" s="5" t="n">
        <v>0</v>
      </c>
      <c r="M621" s="5" t="n">
        <v>138.0162</v>
      </c>
      <c r="N621" s="5" t="n">
        <v>0.7</v>
      </c>
      <c r="O621" s="4" t="s">
        <v>64</v>
      </c>
      <c r="P621" s="2" t="n">
        <f aca="false">IF(K621=1,J621/G621^2,0)</f>
        <v>0</v>
      </c>
      <c r="Q621" s="2" t="n">
        <f aca="false">IF(K621=1,((E621-Result!$B$7*D621)/G621)^2,0)</f>
        <v>0</v>
      </c>
    </row>
    <row r="622" customFormat="false" ht="15" hidden="false" customHeight="false" outlineLevel="0" collapsed="false">
      <c r="A622" s="4" t="s">
        <v>37</v>
      </c>
      <c r="B622" s="4" t="s">
        <v>688</v>
      </c>
      <c r="C622" s="4" t="s">
        <v>63</v>
      </c>
      <c r="D622" s="5" t="n">
        <v>246.6126</v>
      </c>
      <c r="E622" s="5" t="n">
        <v>-0.02</v>
      </c>
      <c r="F622" s="5" t="n">
        <v>0.0050777003338424</v>
      </c>
      <c r="G622" s="5" t="n">
        <v>1.2613</v>
      </c>
      <c r="H622" s="2" t="n">
        <f aca="false">D622*F622</f>
        <v>1.25222488134974</v>
      </c>
      <c r="I622" s="2" t="n">
        <f aca="false">IF(G622="","",D622*1000000/Inputs!$B$4^2*Inputs!$B$5/G622)</f>
        <v>0.993589032961004</v>
      </c>
      <c r="J622" s="2" t="n">
        <f aca="false">IF(C622="A",Inputs!$B$7,IF(C622="B",Inputs!$B$8,IF(C622="C",Inputs!$B$9,0)))</f>
        <v>1</v>
      </c>
      <c r="K622" s="2" t="n">
        <f aca="false">IF(AND(E622&lt;&gt;"",G622&lt;&gt;"",J622&gt;0),IF(I622&gt;=Inputs!$B$6,1,0),0)</f>
        <v>0</v>
      </c>
      <c r="L622" s="5" t="n">
        <v>0</v>
      </c>
      <c r="M622" s="5" t="n">
        <v>246.6117</v>
      </c>
      <c r="N622" s="5" t="n">
        <v>1.25</v>
      </c>
      <c r="O622" s="4" t="s">
        <v>64</v>
      </c>
      <c r="P622" s="2" t="n">
        <f aca="false">IF(K622=1,J622/G622^2,0)</f>
        <v>0</v>
      </c>
      <c r="Q622" s="2" t="n">
        <f aca="false">IF(K622=1,((E622-Result!$B$7*D622)/G622)^2,0)</f>
        <v>0</v>
      </c>
    </row>
    <row r="623" customFormat="false" ht="15" hidden="false" customHeight="false" outlineLevel="0" collapsed="false">
      <c r="A623" s="4" t="s">
        <v>37</v>
      </c>
      <c r="B623" s="4" t="s">
        <v>689</v>
      </c>
      <c r="C623" s="4" t="s">
        <v>63</v>
      </c>
      <c r="D623" s="5" t="n">
        <v>196.4787</v>
      </c>
      <c r="E623" s="5" t="n">
        <v>0.58</v>
      </c>
      <c r="F623" s="5" t="n">
        <v>0.0050775935076281</v>
      </c>
      <c r="G623" s="5" t="n">
        <v>1.2613</v>
      </c>
      <c r="H623" s="2" t="n">
        <f aca="false">D623*F623</f>
        <v>0.997638971507209</v>
      </c>
      <c r="I623" s="2" t="n">
        <f aca="false">IF(G623="","",D623*1000000/Inputs!$B$4^2*Inputs!$B$5/G623)</f>
        <v>0.791602219555835</v>
      </c>
      <c r="J623" s="2" t="n">
        <f aca="false">IF(C623="A",Inputs!$B$7,IF(C623="B",Inputs!$B$8,IF(C623="C",Inputs!$B$9,0)))</f>
        <v>1</v>
      </c>
      <c r="K623" s="2" t="n">
        <f aca="false">IF(AND(E623&lt;&gt;"",G623&lt;&gt;"",J623&gt;0),IF(I623&gt;=Inputs!$B$6,1,0),0)</f>
        <v>0</v>
      </c>
      <c r="L623" s="5" t="n">
        <v>1</v>
      </c>
      <c r="M623" s="5" t="n">
        <v>196.4778</v>
      </c>
      <c r="N623" s="5" t="n">
        <v>1</v>
      </c>
      <c r="O623" s="4" t="s">
        <v>64</v>
      </c>
      <c r="P623" s="2" t="n">
        <f aca="false">IF(K623=1,J623/G623^2,0)</f>
        <v>0</v>
      </c>
      <c r="Q623" s="2" t="n">
        <f aca="false">IF(K623=1,((E623-Result!$B$7*D623)/G623)^2,0)</f>
        <v>0</v>
      </c>
    </row>
    <row r="624" customFormat="false" ht="15" hidden="false" customHeight="false" outlineLevel="0" collapsed="false">
      <c r="A624" s="4" t="s">
        <v>37</v>
      </c>
      <c r="B624" s="4" t="s">
        <v>690</v>
      </c>
      <c r="C624" s="4" t="s">
        <v>63</v>
      </c>
      <c r="D624" s="5" t="n">
        <v>364.7345</v>
      </c>
      <c r="E624" s="5" t="n">
        <v>1.52</v>
      </c>
      <c r="F624" s="5" t="n">
        <v>0.00507762959272082</v>
      </c>
      <c r="G624" s="5" t="n">
        <v>1.2613</v>
      </c>
      <c r="H624" s="2" t="n">
        <f aca="false">D624*F624</f>
        <v>1.85198669068623</v>
      </c>
      <c r="I624" s="2" t="n">
        <f aca="false">IF(G624="","",D624*1000000/Inputs!$B$4^2*Inputs!$B$5/G624)</f>
        <v>1.46949587791749</v>
      </c>
      <c r="J624" s="2" t="n">
        <f aca="false">IF(C624="A",Inputs!$B$7,IF(C624="B",Inputs!$B$8,IF(C624="C",Inputs!$B$9,0)))</f>
        <v>1</v>
      </c>
      <c r="K624" s="2" t="n">
        <f aca="false">IF(AND(E624&lt;&gt;"",G624&lt;&gt;"",J624&gt;0),IF(I624&gt;=Inputs!$B$6,1,0),0)</f>
        <v>0</v>
      </c>
      <c r="L624" s="5" t="n">
        <v>0</v>
      </c>
      <c r="M624" s="5" t="n">
        <v>364.7336</v>
      </c>
      <c r="N624" s="5" t="n">
        <v>1.85</v>
      </c>
      <c r="O624" s="4" t="s">
        <v>64</v>
      </c>
      <c r="P624" s="2" t="n">
        <f aca="false">IF(K624=1,J624/G624^2,0)</f>
        <v>0</v>
      </c>
      <c r="Q624" s="2" t="n">
        <f aca="false">IF(K624=1,((E624-Result!$B$7*D624)/G624)^2,0)</f>
        <v>0</v>
      </c>
    </row>
    <row r="625" customFormat="false" ht="15" hidden="false" customHeight="false" outlineLevel="0" collapsed="false">
      <c r="A625" s="4" t="s">
        <v>37</v>
      </c>
      <c r="B625" s="4" t="s">
        <v>691</v>
      </c>
      <c r="C625" s="4" t="s">
        <v>63</v>
      </c>
      <c r="D625" s="5" t="n">
        <v>414.8687</v>
      </c>
      <c r="E625" s="5" t="n">
        <v>0.92</v>
      </c>
      <c r="F625" s="5" t="n">
        <v>0.00507768874792657</v>
      </c>
      <c r="G625" s="5" t="n">
        <v>1.2613</v>
      </c>
      <c r="H625" s="2" t="n">
        <f aca="false">D625*F625</f>
        <v>2.10657412985693</v>
      </c>
      <c r="I625" s="2" t="n">
        <f aca="false">IF(G625="","",D625*1000000/Inputs!$B$4^2*Inputs!$B$5/G625)</f>
        <v>1.67148390000669</v>
      </c>
      <c r="J625" s="2" t="n">
        <f aca="false">IF(C625="A",Inputs!$B$7,IF(C625="B",Inputs!$B$8,IF(C625="C",Inputs!$B$9,0)))</f>
        <v>1</v>
      </c>
      <c r="K625" s="2" t="n">
        <f aca="false">IF(AND(E625&lt;&gt;"",G625&lt;&gt;"",J625&gt;0),IF(I625&gt;=Inputs!$B$6,1,0),0)</f>
        <v>0</v>
      </c>
      <c r="L625" s="5" t="n">
        <v>1</v>
      </c>
      <c r="M625" s="5" t="n">
        <v>414.8675</v>
      </c>
      <c r="N625" s="5" t="n">
        <v>2.11</v>
      </c>
      <c r="O625" s="4" t="s">
        <v>64</v>
      </c>
      <c r="P625" s="2" t="n">
        <f aca="false">IF(K625=1,J625/G625^2,0)</f>
        <v>0</v>
      </c>
      <c r="Q625" s="2" t="n">
        <f aca="false">IF(K625=1,((E625-Result!$B$7*D625)/G625)^2,0)</f>
        <v>0</v>
      </c>
    </row>
    <row r="626" customFormat="false" ht="15" hidden="false" customHeight="false" outlineLevel="0" collapsed="false">
      <c r="A626" s="4" t="s">
        <v>37</v>
      </c>
      <c r="B626" s="4" t="s">
        <v>692</v>
      </c>
      <c r="C626" s="4" t="s">
        <v>63</v>
      </c>
      <c r="D626" s="5" t="n">
        <v>427.0377</v>
      </c>
      <c r="E626" s="5" t="n">
        <v>1.14</v>
      </c>
      <c r="F626" s="5" t="n">
        <v>0.00507768581941999</v>
      </c>
      <c r="G626" s="5" t="n">
        <v>1.2613</v>
      </c>
      <c r="H626" s="2" t="n">
        <f aca="false">D626*F626</f>
        <v>2.16836327364773</v>
      </c>
      <c r="I626" s="2" t="n">
        <f aca="false">IF(G626="","",D626*1000000/Inputs!$B$4^2*Inputs!$B$5/G626)</f>
        <v>1.72051215299174</v>
      </c>
      <c r="J626" s="2" t="n">
        <f aca="false">IF(C626="A",Inputs!$B$7,IF(C626="B",Inputs!$B$8,IF(C626="C",Inputs!$B$9,0)))</f>
        <v>1</v>
      </c>
      <c r="K626" s="2" t="n">
        <f aca="false">IF(AND(E626&lt;&gt;"",G626&lt;&gt;"",J626&gt;0),IF(I626&gt;=Inputs!$B$6,1,0),0)</f>
        <v>0</v>
      </c>
      <c r="L626" s="5" t="n">
        <v>1</v>
      </c>
      <c r="M626" s="5" t="n">
        <v>427.0367</v>
      </c>
      <c r="N626" s="5" t="n">
        <v>2.17</v>
      </c>
      <c r="O626" s="4" t="s">
        <v>64</v>
      </c>
      <c r="P626" s="2" t="n">
        <f aca="false">IF(K626=1,J626/G626^2,0)</f>
        <v>0</v>
      </c>
      <c r="Q626" s="2" t="n">
        <f aca="false">IF(K626=1,((E626-Result!$B$7*D626)/G626)^2,0)</f>
        <v>0</v>
      </c>
    </row>
    <row r="627" customFormat="false" ht="15" hidden="false" customHeight="false" outlineLevel="0" collapsed="false">
      <c r="A627" s="4" t="s">
        <v>37</v>
      </c>
      <c r="B627" s="4" t="s">
        <v>693</v>
      </c>
      <c r="C627" s="4" t="s">
        <v>63</v>
      </c>
      <c r="D627" s="5" t="n">
        <v>407.4489</v>
      </c>
      <c r="E627" s="5" t="n">
        <v>3.66</v>
      </c>
      <c r="F627" s="5" t="n">
        <v>0.00507759428933466</v>
      </c>
      <c r="G627" s="5" t="n">
        <v>1.2613</v>
      </c>
      <c r="H627" s="2" t="n">
        <f aca="false">D627*F627</f>
        <v>2.06886020783569</v>
      </c>
      <c r="I627" s="2" t="n">
        <f aca="false">IF(G627="","",D627*1000000/Inputs!$B$4^2*Inputs!$B$5/G627)</f>
        <v>1.64158992092061</v>
      </c>
      <c r="J627" s="2" t="n">
        <f aca="false">IF(C627="A",Inputs!$B$7,IF(C627="B",Inputs!$B$8,IF(C627="C",Inputs!$B$9,0)))</f>
        <v>1</v>
      </c>
      <c r="K627" s="2" t="n">
        <f aca="false">IF(AND(E627&lt;&gt;"",G627&lt;&gt;"",J627&gt;0),IF(I627&gt;=Inputs!$B$6,1,0),0)</f>
        <v>0</v>
      </c>
      <c r="L627" s="5" t="n">
        <v>0</v>
      </c>
      <c r="M627" s="5" t="n">
        <v>407.4478</v>
      </c>
      <c r="N627" s="5" t="n">
        <v>2.07</v>
      </c>
      <c r="O627" s="4" t="s">
        <v>64</v>
      </c>
      <c r="P627" s="2" t="n">
        <f aca="false">IF(K627=1,J627/G627^2,0)</f>
        <v>0</v>
      </c>
      <c r="Q627" s="2" t="n">
        <f aca="false">IF(K627=1,((E627-Result!$B$7*D627)/G627)^2,0)</f>
        <v>0</v>
      </c>
    </row>
    <row r="628" customFormat="false" ht="15" hidden="false" customHeight="false" outlineLevel="0" collapsed="false">
      <c r="A628" s="4" t="s">
        <v>37</v>
      </c>
      <c r="B628" s="4" t="s">
        <v>694</v>
      </c>
      <c r="C628" s="4" t="s">
        <v>63</v>
      </c>
      <c r="D628" s="5" t="n">
        <v>353.4269</v>
      </c>
      <c r="E628" s="5" t="n">
        <v>2.79</v>
      </c>
      <c r="F628" s="5" t="n">
        <v>0.00507755526514693</v>
      </c>
      <c r="G628" s="5" t="n">
        <v>1.2613</v>
      </c>
      <c r="H628" s="2" t="n">
        <f aca="false">D628*F628</f>
        <v>1.79454461693956</v>
      </c>
      <c r="I628" s="2" t="n">
        <f aca="false">IF(G628="","",D628*1000000/Inputs!$B$4^2*Inputs!$B$5/G628)</f>
        <v>1.42393815966178</v>
      </c>
      <c r="J628" s="2" t="n">
        <f aca="false">IF(C628="A",Inputs!$B$7,IF(C628="B",Inputs!$B$8,IF(C628="C",Inputs!$B$9,0)))</f>
        <v>1</v>
      </c>
      <c r="K628" s="2" t="n">
        <f aca="false">IF(AND(E628&lt;&gt;"",G628&lt;&gt;"",J628&gt;0),IF(I628&gt;=Inputs!$B$6,1,0),0)</f>
        <v>0</v>
      </c>
      <c r="L628" s="5" t="n">
        <v>1</v>
      </c>
      <c r="M628" s="5" t="n">
        <v>353.4256</v>
      </c>
      <c r="N628" s="5" t="n">
        <v>1.79</v>
      </c>
      <c r="O628" s="4" t="s">
        <v>64</v>
      </c>
      <c r="P628" s="2" t="n">
        <f aca="false">IF(K628=1,J628/G628^2,0)</f>
        <v>0</v>
      </c>
      <c r="Q628" s="2" t="n">
        <f aca="false">IF(K628=1,((E628-Result!$B$7*D628)/G628)^2,0)</f>
        <v>0</v>
      </c>
    </row>
    <row r="629" customFormat="false" ht="15" hidden="false" customHeight="false" outlineLevel="0" collapsed="false">
      <c r="A629" s="4" t="s">
        <v>37</v>
      </c>
      <c r="B629" s="4" t="s">
        <v>695</v>
      </c>
      <c r="C629" s="4" t="s">
        <v>63</v>
      </c>
      <c r="D629" s="5" t="n">
        <v>373.0148</v>
      </c>
      <c r="E629" s="5" t="n">
        <v>0.27</v>
      </c>
      <c r="F629" s="5" t="n">
        <v>0.00507766211757611</v>
      </c>
      <c r="G629" s="5" t="n">
        <v>1.2613</v>
      </c>
      <c r="H629" s="2" t="n">
        <f aca="false">D629*F629</f>
        <v>1.89404311925523</v>
      </c>
      <c r="I629" s="2" t="n">
        <f aca="false">IF(G629="","",D629*1000000/Inputs!$B$4^2*Inputs!$B$5/G629)</f>
        <v>1.50285676568084</v>
      </c>
      <c r="J629" s="2" t="n">
        <f aca="false">IF(C629="A",Inputs!$B$7,IF(C629="B",Inputs!$B$8,IF(C629="C",Inputs!$B$9,0)))</f>
        <v>1</v>
      </c>
      <c r="K629" s="2" t="n">
        <f aca="false">IF(AND(E629&lt;&gt;"",G629&lt;&gt;"",J629&gt;0),IF(I629&gt;=Inputs!$B$6,1,0),0)</f>
        <v>0</v>
      </c>
      <c r="L629" s="5" t="n">
        <v>0</v>
      </c>
      <c r="M629" s="5" t="n">
        <v>373.0145</v>
      </c>
      <c r="N629" s="5" t="n">
        <v>1.89</v>
      </c>
      <c r="O629" s="4" t="s">
        <v>64</v>
      </c>
      <c r="P629" s="2" t="n">
        <f aca="false">IF(K629=1,J629/G629^2,0)</f>
        <v>0</v>
      </c>
      <c r="Q629" s="2" t="n">
        <f aca="false">IF(K629=1,((E629-Result!$B$7*D629)/G629)^2,0)</f>
        <v>0</v>
      </c>
    </row>
    <row r="630" customFormat="false" ht="15" hidden="false" customHeight="false" outlineLevel="0" collapsed="false">
      <c r="A630" s="4" t="s">
        <v>37</v>
      </c>
      <c r="B630" s="4" t="s">
        <v>696</v>
      </c>
      <c r="C630" s="4" t="s">
        <v>63</v>
      </c>
      <c r="D630" s="5" t="n">
        <v>390.6971</v>
      </c>
      <c r="E630" s="5" t="n">
        <v>-0.23</v>
      </c>
      <c r="F630" s="5" t="n">
        <v>0.00507751724024757</v>
      </c>
      <c r="G630" s="5" t="n">
        <v>1.2613</v>
      </c>
      <c r="H630" s="2" t="n">
        <f aca="false">D630*F630</f>
        <v>1.98377126096473</v>
      </c>
      <c r="I630" s="2" t="n">
        <f aca="false">IF(G630="","",D630*1000000/Inputs!$B$4^2*Inputs!$B$5/G630)</f>
        <v>1.57409781077556</v>
      </c>
      <c r="J630" s="2" t="n">
        <f aca="false">IF(C630="A",Inputs!$B$7,IF(C630="B",Inputs!$B$8,IF(C630="C",Inputs!$B$9,0)))</f>
        <v>1</v>
      </c>
      <c r="K630" s="2" t="n">
        <f aca="false">IF(AND(E630&lt;&gt;"",G630&lt;&gt;"",J630&gt;0),IF(I630&gt;=Inputs!$B$6,1,0),0)</f>
        <v>0</v>
      </c>
      <c r="L630" s="5" t="n">
        <v>1</v>
      </c>
      <c r="M630" s="5" t="n">
        <v>390.6964</v>
      </c>
      <c r="N630" s="5" t="n">
        <v>1.98</v>
      </c>
      <c r="O630" s="4" t="s">
        <v>64</v>
      </c>
      <c r="P630" s="2" t="n">
        <f aca="false">IF(K630=1,J630/G630^2,0)</f>
        <v>0</v>
      </c>
      <c r="Q630" s="2" t="n">
        <f aca="false">IF(K630=1,((E630-Result!$B$7*D630)/G630)^2,0)</f>
        <v>0</v>
      </c>
    </row>
    <row r="631" customFormat="false" ht="15" hidden="false" customHeight="false" outlineLevel="0" collapsed="false">
      <c r="A631" s="4" t="s">
        <v>37</v>
      </c>
      <c r="B631" s="4" t="s">
        <v>697</v>
      </c>
      <c r="C631" s="4" t="s">
        <v>63</v>
      </c>
      <c r="D631" s="5" t="n">
        <v>418.2851</v>
      </c>
      <c r="E631" s="5" t="n">
        <v>2.4</v>
      </c>
      <c r="F631" s="5" t="n">
        <v>0.00507767145368252</v>
      </c>
      <c r="G631" s="5" t="n">
        <v>1.2613</v>
      </c>
      <c r="H631" s="2" t="n">
        <f aca="false">D631*F631</f>
        <v>2.12391431177074</v>
      </c>
      <c r="I631" s="2" t="n">
        <f aca="false">IF(G631="","",D631*1000000/Inputs!$B$4^2*Inputs!$B$5/G631)</f>
        <v>1.68524839367898</v>
      </c>
      <c r="J631" s="2" t="n">
        <f aca="false">IF(C631="A",Inputs!$B$7,IF(C631="B",Inputs!$B$8,IF(C631="C",Inputs!$B$9,0)))</f>
        <v>1</v>
      </c>
      <c r="K631" s="2" t="n">
        <f aca="false">IF(AND(E631&lt;&gt;"",G631&lt;&gt;"",J631&gt;0),IF(I631&gt;=Inputs!$B$6,1,0),0)</f>
        <v>0</v>
      </c>
      <c r="L631" s="5" t="n">
        <v>0</v>
      </c>
      <c r="M631" s="5" t="n">
        <v>418.2849</v>
      </c>
      <c r="N631" s="5" t="n">
        <v>2.12</v>
      </c>
      <c r="O631" s="4" t="s">
        <v>64</v>
      </c>
      <c r="P631" s="2" t="n">
        <f aca="false">IF(K631=1,J631/G631^2,0)</f>
        <v>0</v>
      </c>
      <c r="Q631" s="2" t="n">
        <f aca="false">IF(K631=1,((E631-Result!$B$7*D631)/G631)^2,0)</f>
        <v>0</v>
      </c>
    </row>
    <row r="632" customFormat="false" ht="15" hidden="false" customHeight="false" outlineLevel="0" collapsed="false">
      <c r="A632" s="4" t="s">
        <v>37</v>
      </c>
      <c r="B632" s="4" t="s">
        <v>698</v>
      </c>
      <c r="C632" s="4" t="s">
        <v>63</v>
      </c>
      <c r="D632" s="5" t="n">
        <v>689.8054</v>
      </c>
      <c r="E632" s="5" t="n">
        <v>5.79</v>
      </c>
      <c r="F632" s="5" t="n">
        <v>0.00507765716321221</v>
      </c>
      <c r="G632" s="5" t="n">
        <v>1.2613</v>
      </c>
      <c r="H632" s="2" t="n">
        <f aca="false">D632*F632</f>
        <v>3.50259533053246</v>
      </c>
      <c r="I632" s="2" t="n">
        <f aca="false">IF(G632="","",D632*1000000/Inputs!$B$4^2*Inputs!$B$5/G632)</f>
        <v>2.77918922357284</v>
      </c>
      <c r="J632" s="2" t="n">
        <f aca="false">IF(C632="A",Inputs!$B$7,IF(C632="B",Inputs!$B$8,IF(C632="C",Inputs!$B$9,0)))</f>
        <v>1</v>
      </c>
      <c r="K632" s="2" t="n">
        <f aca="false">IF(AND(E632&lt;&gt;"",G632&lt;&gt;"",J632&gt;0),IF(I632&gt;=Inputs!$B$6,1,0),0)</f>
        <v>1</v>
      </c>
      <c r="L632" s="5" t="n">
        <v>1</v>
      </c>
      <c r="M632" s="5" t="n">
        <v>689.8057</v>
      </c>
      <c r="N632" s="5" t="n">
        <v>3.5</v>
      </c>
      <c r="O632" s="4" t="s">
        <v>64</v>
      </c>
      <c r="P632" s="2" t="n">
        <f aca="false">IF(K632=1,J632/G632^2,0)</f>
        <v>0.628583835379576</v>
      </c>
      <c r="Q632" s="2" t="n">
        <f aca="false">IF(K632=1,((E632-Result!$B$7*D632)/G632)^2,0)</f>
        <v>3.33665815283563</v>
      </c>
    </row>
    <row r="633" customFormat="false" ht="15" hidden="false" customHeight="false" outlineLevel="0" collapsed="false">
      <c r="A633" s="4" t="s">
        <v>37</v>
      </c>
      <c r="B633" s="4" t="s">
        <v>699</v>
      </c>
      <c r="C633" s="4" t="s">
        <v>63</v>
      </c>
      <c r="D633" s="5" t="n">
        <v>662.217</v>
      </c>
      <c r="E633" s="5" t="n">
        <v>3.16</v>
      </c>
      <c r="F633" s="5" t="n">
        <v>0.00507756561629121</v>
      </c>
      <c r="G633" s="5" t="n">
        <v>1.2613</v>
      </c>
      <c r="H633" s="2" t="n">
        <f aca="false">D633*F633</f>
        <v>3.36245026972352</v>
      </c>
      <c r="I633" s="2" t="n">
        <f aca="false">IF(G633="","",D633*1000000/Inputs!$B$4^2*Inputs!$B$5/G633)</f>
        <v>2.66803702909072</v>
      </c>
      <c r="J633" s="2" t="n">
        <f aca="false">IF(C633="A",Inputs!$B$7,IF(C633="B",Inputs!$B$8,IF(C633="C",Inputs!$B$9,0)))</f>
        <v>1</v>
      </c>
      <c r="K633" s="2" t="n">
        <f aca="false">IF(AND(E633&lt;&gt;"",G633&lt;&gt;"",J633&gt;0),IF(I633&gt;=Inputs!$B$6,1,0),0)</f>
        <v>1</v>
      </c>
      <c r="L633" s="5" t="n">
        <v>0</v>
      </c>
      <c r="M633" s="5" t="n">
        <v>662.2171</v>
      </c>
      <c r="N633" s="5" t="n">
        <v>3.36</v>
      </c>
      <c r="O633" s="4" t="s">
        <v>64</v>
      </c>
      <c r="P633" s="2" t="n">
        <f aca="false">IF(K633=1,J633/G633^2,0)</f>
        <v>0.628583835379576</v>
      </c>
      <c r="Q633" s="2" t="n">
        <f aca="false">IF(K633=1,((E633-Result!$B$7*D633)/G633)^2,0)</f>
        <v>0.0218919760552127</v>
      </c>
    </row>
    <row r="634" customFormat="false" ht="15" hidden="false" customHeight="false" outlineLevel="0" collapsed="false">
      <c r="A634" s="4" t="s">
        <v>37</v>
      </c>
      <c r="B634" s="4" t="s">
        <v>700</v>
      </c>
      <c r="C634" s="4" t="s">
        <v>63</v>
      </c>
      <c r="D634" s="5" t="n">
        <v>560.072</v>
      </c>
      <c r="E634" s="5" t="n">
        <v>6.76</v>
      </c>
      <c r="F634" s="5" t="n">
        <v>0.00507763796449801</v>
      </c>
      <c r="G634" s="5" t="n">
        <v>1.2613</v>
      </c>
      <c r="H634" s="2" t="n">
        <f aca="false">D634*F634</f>
        <v>2.84384285005233</v>
      </c>
      <c r="I634" s="2" t="n">
        <f aca="false">IF(G634="","",D634*1000000/Inputs!$B$4^2*Inputs!$B$5/G634)</f>
        <v>2.2565002634437</v>
      </c>
      <c r="J634" s="2" t="n">
        <f aca="false">IF(C634="A",Inputs!$B$7,IF(C634="B",Inputs!$B$8,IF(C634="C",Inputs!$B$9,0)))</f>
        <v>1</v>
      </c>
      <c r="K634" s="2" t="n">
        <f aca="false">IF(AND(E634&lt;&gt;"",G634&lt;&gt;"",J634&gt;0),IF(I634&gt;=Inputs!$B$6,1,0),0)</f>
        <v>1</v>
      </c>
      <c r="L634" s="5" t="n">
        <v>1</v>
      </c>
      <c r="M634" s="5" t="n">
        <v>560.0712</v>
      </c>
      <c r="N634" s="5" t="n">
        <v>2.84</v>
      </c>
      <c r="O634" s="4" t="s">
        <v>64</v>
      </c>
      <c r="P634" s="2" t="n">
        <f aca="false">IF(K634=1,J634/G634^2,0)</f>
        <v>0.628583835379576</v>
      </c>
      <c r="Q634" s="2" t="n">
        <f aca="false">IF(K634=1,((E634-Result!$B$7*D634)/G634)^2,0)</f>
        <v>9.70636514464261</v>
      </c>
    </row>
    <row r="635" customFormat="false" ht="15" hidden="false" customHeight="false" outlineLevel="0" collapsed="false">
      <c r="A635" s="4" t="s">
        <v>37</v>
      </c>
      <c r="B635" s="4" t="s">
        <v>701</v>
      </c>
      <c r="C635" s="4" t="s">
        <v>63</v>
      </c>
      <c r="D635" s="5" t="n">
        <v>436.6014</v>
      </c>
      <c r="E635" s="5" t="n">
        <v>-0.63</v>
      </c>
      <c r="F635" s="5" t="n">
        <v>0.00507749795060747</v>
      </c>
      <c r="G635" s="5" t="n">
        <v>1.2613</v>
      </c>
      <c r="H635" s="2" t="n">
        <f aca="false">D635*F635</f>
        <v>2.21684271373235</v>
      </c>
      <c r="I635" s="2" t="n">
        <f aca="false">IF(G635="","",D635*1000000/Inputs!$B$4^2*Inputs!$B$5/G635)</f>
        <v>1.75904379101238</v>
      </c>
      <c r="J635" s="2" t="n">
        <f aca="false">IF(C635="A",Inputs!$B$7,IF(C635="B",Inputs!$B$8,IF(C635="C",Inputs!$B$9,0)))</f>
        <v>1</v>
      </c>
      <c r="K635" s="2" t="n">
        <f aca="false">IF(AND(E635&lt;&gt;"",G635&lt;&gt;"",J635&gt;0),IF(I635&gt;=Inputs!$B$6,1,0),0)</f>
        <v>0</v>
      </c>
      <c r="L635" s="5" t="n">
        <v>1</v>
      </c>
      <c r="M635" s="5" t="n">
        <v>436.6001</v>
      </c>
      <c r="N635" s="5" t="n">
        <v>2.22</v>
      </c>
      <c r="O635" s="4" t="s">
        <v>64</v>
      </c>
      <c r="P635" s="2" t="n">
        <f aca="false">IF(K635=1,J635/G635^2,0)</f>
        <v>0</v>
      </c>
      <c r="Q635" s="2" t="n">
        <f aca="false">IF(K635=1,((E635-Result!$B$7*D635)/G635)^2,0)</f>
        <v>0</v>
      </c>
    </row>
    <row r="636" customFormat="false" ht="15" hidden="false" customHeight="false" outlineLevel="0" collapsed="false">
      <c r="A636" s="4" t="s">
        <v>37</v>
      </c>
      <c r="B636" s="4" t="s">
        <v>702</v>
      </c>
      <c r="C636" s="4" t="s">
        <v>63</v>
      </c>
      <c r="D636" s="5" t="n">
        <v>334.9343</v>
      </c>
      <c r="E636" s="5" t="n">
        <v>0.11</v>
      </c>
      <c r="F636" s="5" t="n">
        <v>0.00507752648502413</v>
      </c>
      <c r="G636" s="5" t="n">
        <v>1.2613</v>
      </c>
      <c r="H636" s="2" t="n">
        <f aca="false">D636*F636</f>
        <v>1.70063777899302</v>
      </c>
      <c r="I636" s="2" t="n">
        <f aca="false">IF(G636="","",D636*1000000/Inputs!$B$4^2*Inputs!$B$5/G636)</f>
        <v>1.34943245901657</v>
      </c>
      <c r="J636" s="2" t="n">
        <f aca="false">IF(C636="A",Inputs!$B$7,IF(C636="B",Inputs!$B$8,IF(C636="C",Inputs!$B$9,0)))</f>
        <v>1</v>
      </c>
      <c r="K636" s="2" t="n">
        <f aca="false">IF(AND(E636&lt;&gt;"",G636&lt;&gt;"",J636&gt;0),IF(I636&gt;=Inputs!$B$6,1,0),0)</f>
        <v>0</v>
      </c>
      <c r="L636" s="5" t="n">
        <v>1</v>
      </c>
      <c r="M636" s="5" t="n">
        <v>334.9334</v>
      </c>
      <c r="N636" s="5" t="n">
        <v>1.7</v>
      </c>
      <c r="O636" s="4" t="s">
        <v>64</v>
      </c>
      <c r="P636" s="2" t="n">
        <f aca="false">IF(K636=1,J636/G636^2,0)</f>
        <v>0</v>
      </c>
      <c r="Q636" s="2" t="n">
        <f aca="false">IF(K636=1,((E636-Result!$B$7*D636)/G636)^2,0)</f>
        <v>0</v>
      </c>
    </row>
    <row r="637" customFormat="false" ht="15" hidden="false" customHeight="false" outlineLevel="0" collapsed="false">
      <c r="A637" s="4" t="s">
        <v>37</v>
      </c>
      <c r="B637" s="4" t="s">
        <v>703</v>
      </c>
      <c r="C637" s="4" t="s">
        <v>63</v>
      </c>
      <c r="D637" s="5" t="n">
        <v>429.5838</v>
      </c>
      <c r="E637" s="5" t="n">
        <v>-0.99</v>
      </c>
      <c r="F637" s="5" t="n">
        <v>0.00507782482027378</v>
      </c>
      <c r="G637" s="5" t="n">
        <v>1.2613</v>
      </c>
      <c r="H637" s="2" t="n">
        <f aca="false">D637*F637</f>
        <v>2.18135128202753</v>
      </c>
      <c r="I637" s="2" t="n">
        <f aca="false">IF(G637="","",D637*1000000/Inputs!$B$4^2*Inputs!$B$5/G637)</f>
        <v>1.73077025430863</v>
      </c>
      <c r="J637" s="2" t="n">
        <f aca="false">IF(C637="A",Inputs!$B$7,IF(C637="B",Inputs!$B$8,IF(C637="C",Inputs!$B$9,0)))</f>
        <v>1</v>
      </c>
      <c r="K637" s="2" t="n">
        <f aca="false">IF(AND(E637&lt;&gt;"",G637&lt;&gt;"",J637&gt;0),IF(I637&gt;=Inputs!$B$6,1,0),0)</f>
        <v>0</v>
      </c>
      <c r="L637" s="5" t="n">
        <v>1</v>
      </c>
      <c r="M637" s="5" t="n">
        <v>429.583</v>
      </c>
      <c r="N637" s="5" t="n">
        <v>2.18</v>
      </c>
      <c r="O637" s="4" t="s">
        <v>64</v>
      </c>
      <c r="P637" s="2" t="n">
        <f aca="false">IF(K637=1,J637/G637^2,0)</f>
        <v>0</v>
      </c>
      <c r="Q637" s="2" t="n">
        <f aca="false">IF(K637=1,((E637-Result!$B$7*D637)/G637)^2,0)</f>
        <v>0</v>
      </c>
    </row>
    <row r="638" customFormat="false" ht="15" hidden="false" customHeight="false" outlineLevel="0" collapsed="false">
      <c r="A638" s="4" t="s">
        <v>37</v>
      </c>
      <c r="B638" s="4" t="s">
        <v>704</v>
      </c>
      <c r="C638" s="4" t="s">
        <v>63</v>
      </c>
      <c r="D638" s="5" t="n">
        <v>479.876</v>
      </c>
      <c r="E638" s="5" t="n">
        <v>2.54</v>
      </c>
      <c r="F638" s="5" t="n">
        <v>0.00507779625781166</v>
      </c>
      <c r="G638" s="5" t="n">
        <v>1.2613</v>
      </c>
      <c r="H638" s="2" t="n">
        <f aca="false">D638*F638</f>
        <v>2.43671255701363</v>
      </c>
      <c r="I638" s="2" t="n">
        <f aca="false">IF(G638="","",D638*1000000/Inputs!$B$4^2*Inputs!$B$5/G638)</f>
        <v>1.93339484998412</v>
      </c>
      <c r="J638" s="2" t="n">
        <f aca="false">IF(C638="A",Inputs!$B$7,IF(C638="B",Inputs!$B$8,IF(C638="C",Inputs!$B$9,0)))</f>
        <v>1</v>
      </c>
      <c r="K638" s="2" t="n">
        <f aca="false">IF(AND(E638&lt;&gt;"",G638&lt;&gt;"",J638&gt;0),IF(I638&gt;=Inputs!$B$6,1,0),0)</f>
        <v>0</v>
      </c>
      <c r="L638" s="5" t="n">
        <v>1</v>
      </c>
      <c r="M638" s="5" t="n">
        <v>479.8753</v>
      </c>
      <c r="N638" s="5" t="n">
        <v>2.44</v>
      </c>
      <c r="O638" s="4" t="s">
        <v>64</v>
      </c>
      <c r="P638" s="2" t="n">
        <f aca="false">IF(K638=1,J638/G638^2,0)</f>
        <v>0</v>
      </c>
      <c r="Q638" s="2" t="n">
        <f aca="false">IF(K638=1,((E638-Result!$B$7*D638)/G638)^2,0)</f>
        <v>0</v>
      </c>
    </row>
    <row r="639" customFormat="false" ht="15" hidden="false" customHeight="false" outlineLevel="0" collapsed="false">
      <c r="A639" s="4" t="s">
        <v>37</v>
      </c>
      <c r="B639" s="4" t="s">
        <v>705</v>
      </c>
      <c r="C639" s="4" t="s">
        <v>63</v>
      </c>
      <c r="D639" s="5" t="n">
        <v>542.7875</v>
      </c>
      <c r="E639" s="5" t="n">
        <v>3.19</v>
      </c>
      <c r="F639" s="5" t="n">
        <v>0.00507763788149393</v>
      </c>
      <c r="G639" s="5" t="n">
        <v>1.2613</v>
      </c>
      <c r="H639" s="2" t="n">
        <f aca="false">D639*F639</f>
        <v>2.75607837160139</v>
      </c>
      <c r="I639" s="2" t="n">
        <f aca="false">IF(G639="","",D639*1000000/Inputs!$B$4^2*Inputs!$B$5/G639)</f>
        <v>2.18686193336562</v>
      </c>
      <c r="J639" s="2" t="n">
        <f aca="false">IF(C639="A",Inputs!$B$7,IF(C639="B",Inputs!$B$8,IF(C639="C",Inputs!$B$9,0)))</f>
        <v>1</v>
      </c>
      <c r="K639" s="2" t="n">
        <f aca="false">IF(AND(E639&lt;&gt;"",G639&lt;&gt;"",J639&gt;0),IF(I639&gt;=Inputs!$B$6,1,0),0)</f>
        <v>1</v>
      </c>
      <c r="L639" s="5" t="n">
        <v>1</v>
      </c>
      <c r="M639" s="5" t="n">
        <v>542.787</v>
      </c>
      <c r="N639" s="5" t="n">
        <v>2.76</v>
      </c>
      <c r="O639" s="4" t="s">
        <v>64</v>
      </c>
      <c r="P639" s="2" t="n">
        <f aca="false">IF(K639=1,J639/G639^2,0)</f>
        <v>0.628583835379576</v>
      </c>
      <c r="Q639" s="2" t="n">
        <f aca="false">IF(K639=1,((E639-Result!$B$7*D639)/G639)^2,0)</f>
        <v>0.125560305195599</v>
      </c>
    </row>
    <row r="640" customFormat="false" ht="15" hidden="false" customHeight="false" outlineLevel="0" collapsed="false">
      <c r="A640" s="4" t="s">
        <v>37</v>
      </c>
      <c r="B640" s="4" t="s">
        <v>706</v>
      </c>
      <c r="C640" s="4" t="s">
        <v>63</v>
      </c>
      <c r="D640" s="5" t="n">
        <v>4262.7109</v>
      </c>
      <c r="E640" s="5" t="n">
        <v>22.325</v>
      </c>
      <c r="F640" s="5" t="n">
        <v>0.00507735113840443</v>
      </c>
      <c r="G640" s="5" t="n">
        <v>1.2613</v>
      </c>
      <c r="H640" s="2" t="n">
        <f aca="false">D640*F640</f>
        <v>21.643280040804</v>
      </c>
      <c r="I640" s="2" t="n">
        <f aca="false">IF(G640="","",D640*1000000/Inputs!$B$4^2*Inputs!$B$5/G640)</f>
        <v>17.1742352212471</v>
      </c>
      <c r="J640" s="2" t="n">
        <f aca="false">IF(C640="A",Inputs!$B$7,IF(C640="B",Inputs!$B$8,IF(C640="C",Inputs!$B$9,0)))</f>
        <v>1</v>
      </c>
      <c r="K640" s="2" t="n">
        <f aca="false">IF(AND(E640&lt;&gt;"",G640&lt;&gt;"",J640&gt;0),IF(I640&gt;=Inputs!$B$6,1,0),0)</f>
        <v>1</v>
      </c>
      <c r="L640" s="5" t="n">
        <v>1</v>
      </c>
      <c r="M640" s="5" t="n">
        <v>4262.8884</v>
      </c>
      <c r="N640" s="5" t="n">
        <v>21.643</v>
      </c>
      <c r="O640" s="4" t="s">
        <v>64</v>
      </c>
      <c r="P640" s="2" t="n">
        <f aca="false">IF(K640=1,J640/G640^2,0)</f>
        <v>0.628583835379576</v>
      </c>
      <c r="Q640" s="2" t="n">
        <f aca="false">IF(K640=1,((E640-Result!$B$7*D640)/G640)^2,0)</f>
        <v>0.385080791458095</v>
      </c>
    </row>
    <row r="641" customFormat="false" ht="15" hidden="false" customHeight="false" outlineLevel="0" collapsed="false">
      <c r="A641" s="4" t="s">
        <v>37</v>
      </c>
      <c r="B641" s="4" t="s">
        <v>707</v>
      </c>
      <c r="C641" s="4" t="s">
        <v>63</v>
      </c>
      <c r="D641" s="5" t="n">
        <v>6760.8398</v>
      </c>
      <c r="E641" s="5" t="n">
        <v>34.111</v>
      </c>
      <c r="F641" s="5" t="n">
        <v>0.00507800562949724</v>
      </c>
      <c r="G641" s="5" t="n">
        <v>1.2613</v>
      </c>
      <c r="H641" s="2" t="n">
        <f aca="false">D641*F641</f>
        <v>34.331582564529</v>
      </c>
      <c r="I641" s="2" t="n">
        <f aca="false">IF(G641="","",D641*1000000/Inputs!$B$4^2*Inputs!$B$5/G641)</f>
        <v>27.2390635307615</v>
      </c>
      <c r="J641" s="2" t="n">
        <f aca="false">IF(C641="A",Inputs!$B$7,IF(C641="B",Inputs!$B$8,IF(C641="C",Inputs!$B$9,0)))</f>
        <v>1</v>
      </c>
      <c r="K641" s="2" t="n">
        <f aca="false">IF(AND(E641&lt;&gt;"",G641&lt;&gt;"",J641&gt;0),IF(I641&gt;=Inputs!$B$6,1,0),0)</f>
        <v>1</v>
      </c>
      <c r="L641" s="5" t="n">
        <v>1</v>
      </c>
      <c r="M641" s="5" t="n">
        <v>6761.1511</v>
      </c>
      <c r="N641" s="5" t="n">
        <v>34.332</v>
      </c>
      <c r="O641" s="4" t="s">
        <v>64</v>
      </c>
      <c r="P641" s="2" t="n">
        <f aca="false">IF(K641=1,J641/G641^2,0)</f>
        <v>0.628583835379576</v>
      </c>
      <c r="Q641" s="2" t="n">
        <f aca="false">IF(K641=1,((E641-Result!$B$7*D641)/G641)^2,0)</f>
        <v>0.00197137454103976</v>
      </c>
    </row>
    <row r="642" customFormat="false" ht="15" hidden="false" customHeight="false" outlineLevel="0" collapsed="false">
      <c r="A642" s="4" t="s">
        <v>37</v>
      </c>
      <c r="B642" s="4" t="s">
        <v>708</v>
      </c>
      <c r="C642" s="4" t="s">
        <v>63</v>
      </c>
      <c r="D642" s="5" t="n">
        <v>4363.5386</v>
      </c>
      <c r="E642" s="5" t="n">
        <v>22.417</v>
      </c>
      <c r="F642" s="5" t="n">
        <v>0.00507693024500491</v>
      </c>
      <c r="G642" s="5" t="n">
        <v>1.2613</v>
      </c>
      <c r="H642" s="2" t="n">
        <f aca="false">D642*F642</f>
        <v>22.1533810935864</v>
      </c>
      <c r="I642" s="2" t="n">
        <f aca="false">IF(G642="","",D642*1000000/Inputs!$B$4^2*Inputs!$B$5/G642)</f>
        <v>17.5804646553421</v>
      </c>
      <c r="J642" s="2" t="n">
        <f aca="false">IF(C642="A",Inputs!$B$7,IF(C642="B",Inputs!$B$8,IF(C642="C",Inputs!$B$9,0)))</f>
        <v>1</v>
      </c>
      <c r="K642" s="2" t="n">
        <f aca="false">IF(AND(E642&lt;&gt;"",G642&lt;&gt;"",J642&gt;0),IF(I642&gt;=Inputs!$B$6,1,0),0)</f>
        <v>1</v>
      </c>
      <c r="L642" s="5" t="n">
        <v>1</v>
      </c>
      <c r="M642" s="5" t="n">
        <v>4363.6647</v>
      </c>
      <c r="N642" s="5" t="n">
        <v>22.153</v>
      </c>
      <c r="O642" s="4" t="s">
        <v>64</v>
      </c>
      <c r="P642" s="2" t="n">
        <f aca="false">IF(K642=1,J642/G642^2,0)</f>
        <v>0.628583835379576</v>
      </c>
      <c r="Q642" s="2" t="n">
        <f aca="false">IF(K642=1,((E642-Result!$B$7*D642)/G642)^2,0)</f>
        <v>0.0838114767908365</v>
      </c>
    </row>
    <row r="643" customFormat="false" ht="15" hidden="false" customHeight="false" outlineLevel="0" collapsed="false">
      <c r="A643" s="4" t="s">
        <v>37</v>
      </c>
      <c r="B643" s="4" t="s">
        <v>709</v>
      </c>
      <c r="C643" s="4" t="s">
        <v>63</v>
      </c>
      <c r="D643" s="5" t="n">
        <v>6607.2756</v>
      </c>
      <c r="E643" s="5" t="n">
        <v>32.472</v>
      </c>
      <c r="F643" s="5" t="n">
        <v>0.00507758645996056</v>
      </c>
      <c r="G643" s="5" t="n">
        <v>1.2613</v>
      </c>
      <c r="H643" s="2" t="n">
        <f aca="false">D643*F643</f>
        <v>33.5490131237878</v>
      </c>
      <c r="I643" s="2" t="n">
        <f aca="false">IF(G643="","",D643*1000000/Inputs!$B$4^2*Inputs!$B$5/G643)</f>
        <v>26.6203615464532</v>
      </c>
      <c r="J643" s="2" t="n">
        <f aca="false">IF(C643="A",Inputs!$B$7,IF(C643="B",Inputs!$B$8,IF(C643="C",Inputs!$B$9,0)))</f>
        <v>1</v>
      </c>
      <c r="K643" s="2" t="n">
        <f aca="false">IF(AND(E643&lt;&gt;"",G643&lt;&gt;"",J643&gt;0),IF(I643&gt;=Inputs!$B$6,1,0),0)</f>
        <v>1</v>
      </c>
      <c r="L643" s="5" t="n">
        <v>1</v>
      </c>
      <c r="M643" s="5" t="n">
        <v>6607.5963</v>
      </c>
      <c r="N643" s="5" t="n">
        <v>33.549</v>
      </c>
      <c r="O643" s="4" t="s">
        <v>64</v>
      </c>
      <c r="P643" s="2" t="n">
        <f aca="false">IF(K643=1,J643/G643^2,0)</f>
        <v>0.628583835379576</v>
      </c>
      <c r="Q643" s="2" t="n">
        <f aca="false">IF(K643=1,((E643-Result!$B$7*D643)/G643)^2,0)</f>
        <v>0.530808423720642</v>
      </c>
    </row>
    <row r="644" customFormat="false" ht="15" hidden="false" customHeight="false" outlineLevel="0" collapsed="false">
      <c r="A644" s="4" t="s">
        <v>37</v>
      </c>
      <c r="B644" s="4" t="s">
        <v>710</v>
      </c>
      <c r="C644" s="4" t="s">
        <v>63</v>
      </c>
      <c r="D644" s="5" t="n">
        <v>9592.3489</v>
      </c>
      <c r="E644" s="5" t="n">
        <v>48.581</v>
      </c>
      <c r="F644" s="5" t="n">
        <v>0.00507780950957831</v>
      </c>
      <c r="G644" s="5" t="n">
        <v>1.2613</v>
      </c>
      <c r="H644" s="2" t="n">
        <f aca="false">D644*F644</f>
        <v>48.708120463613</v>
      </c>
      <c r="I644" s="2" t="n">
        <f aca="false">IF(G644="","",D644*1000000/Inputs!$B$4^2*Inputs!$B$5/G644)</f>
        <v>38.6470629131502</v>
      </c>
      <c r="J644" s="2" t="n">
        <f aca="false">IF(C644="A",Inputs!$B$7,IF(C644="B",Inputs!$B$8,IF(C644="C",Inputs!$B$9,0)))</f>
        <v>1</v>
      </c>
      <c r="K644" s="2" t="n">
        <f aca="false">IF(AND(E644&lt;&gt;"",G644&lt;&gt;"",J644&gt;0),IF(I644&gt;=Inputs!$B$6,1,0),0)</f>
        <v>1</v>
      </c>
      <c r="L644" s="5" t="n">
        <v>1</v>
      </c>
      <c r="M644" s="5" t="n">
        <v>9592.9614</v>
      </c>
      <c r="N644" s="5" t="n">
        <v>48.709</v>
      </c>
      <c r="O644" s="4" t="s">
        <v>64</v>
      </c>
      <c r="P644" s="2" t="n">
        <f aca="false">IF(K644=1,J644/G644^2,0)</f>
        <v>0.628583835379576</v>
      </c>
      <c r="Q644" s="2" t="n">
        <f aca="false">IF(K644=1,((E644-Result!$B$7*D644)/G644)^2,0)</f>
        <v>0.00686521018814359</v>
      </c>
    </row>
    <row r="645" customFormat="false" ht="15" hidden="false" customHeight="false" outlineLevel="0" collapsed="false">
      <c r="A645" s="4" t="s">
        <v>37</v>
      </c>
      <c r="B645" s="4" t="s">
        <v>711</v>
      </c>
      <c r="C645" s="4" t="s">
        <v>63</v>
      </c>
      <c r="D645" s="5" t="n">
        <v>6228.2322</v>
      </c>
      <c r="E645" s="5" t="n">
        <v>30.352</v>
      </c>
      <c r="F645" s="5" t="n">
        <v>0.00507725945717125</v>
      </c>
      <c r="G645" s="5" t="n">
        <v>1.2613</v>
      </c>
      <c r="H645" s="2" t="n">
        <f aca="false">D645*F645</f>
        <v>31.6223508389085</v>
      </c>
      <c r="I645" s="2" t="n">
        <f aca="false">IF(G645="","",D645*1000000/Inputs!$B$4^2*Inputs!$B$5/G645)</f>
        <v>25.0932158724031</v>
      </c>
      <c r="J645" s="2" t="n">
        <f aca="false">IF(C645="A",Inputs!$B$7,IF(C645="B",Inputs!$B$8,IF(C645="C",Inputs!$B$9,0)))</f>
        <v>1</v>
      </c>
      <c r="K645" s="2" t="n">
        <f aca="false">IF(AND(E645&lt;&gt;"",G645&lt;&gt;"",J645&gt;0),IF(I645&gt;=Inputs!$B$6,1,0),0)</f>
        <v>1</v>
      </c>
      <c r="L645" s="5" t="n">
        <v>1</v>
      </c>
      <c r="M645" s="5" t="n">
        <v>6228.4855</v>
      </c>
      <c r="N645" s="5" t="n">
        <v>31.622</v>
      </c>
      <c r="O645" s="4" t="s">
        <v>64</v>
      </c>
      <c r="P645" s="2" t="n">
        <f aca="false">IF(K645=1,J645/G645^2,0)</f>
        <v>0.628583835379576</v>
      </c>
      <c r="Q645" s="2" t="n">
        <f aca="false">IF(K645=1,((E645-Result!$B$7*D645)/G645)^2,0)</f>
        <v>0.793266004285824</v>
      </c>
    </row>
    <row r="646" customFormat="false" ht="15" hidden="false" customHeight="false" outlineLevel="0" collapsed="false">
      <c r="A646" s="4" t="s">
        <v>37</v>
      </c>
      <c r="B646" s="4" t="s">
        <v>712</v>
      </c>
      <c r="C646" s="4" t="s">
        <v>63</v>
      </c>
      <c r="D646" s="5" t="n">
        <v>9718.3701</v>
      </c>
      <c r="E646" s="5" t="n">
        <v>49.531</v>
      </c>
      <c r="F646" s="5" t="n">
        <v>0.00507744888798166</v>
      </c>
      <c r="G646" s="5" t="n">
        <v>1.2613</v>
      </c>
      <c r="H646" s="2" t="n">
        <f aca="false">D646*F646</f>
        <v>49.3445274572393</v>
      </c>
      <c r="I646" s="2" t="n">
        <f aca="false">IF(G646="","",D646*1000000/Inputs!$B$4^2*Inputs!$B$5/G646)</f>
        <v>39.1547956171588</v>
      </c>
      <c r="J646" s="2" t="n">
        <f aca="false">IF(C646="A",Inputs!$B$7,IF(C646="B",Inputs!$B$8,IF(C646="C",Inputs!$B$9,0)))</f>
        <v>1</v>
      </c>
      <c r="K646" s="2" t="n">
        <f aca="false">IF(AND(E646&lt;&gt;"",G646&lt;&gt;"",J646&gt;0),IF(I646&gt;=Inputs!$B$6,1,0),0)</f>
        <v>1</v>
      </c>
      <c r="L646" s="5" t="n">
        <v>1</v>
      </c>
      <c r="M646" s="5" t="n">
        <v>9719.1126</v>
      </c>
      <c r="N646" s="5" t="n">
        <v>49.345</v>
      </c>
      <c r="O646" s="4" t="s">
        <v>64</v>
      </c>
      <c r="P646" s="2" t="n">
        <f aca="false">IF(K646=1,J646/G646^2,0)</f>
        <v>0.628583835379576</v>
      </c>
      <c r="Q646" s="2" t="n">
        <f aca="false">IF(K646=1,((E646-Result!$B$7*D646)/G646)^2,0)</f>
        <v>0.109638736126371</v>
      </c>
    </row>
    <row r="647" customFormat="false" ht="15" hidden="false" customHeight="false" outlineLevel="0" collapsed="false">
      <c r="A647" s="4" t="s">
        <v>37</v>
      </c>
      <c r="B647" s="4" t="s">
        <v>713</v>
      </c>
      <c r="C647" s="4" t="s">
        <v>63</v>
      </c>
      <c r="D647" s="5" t="n">
        <v>9088.6532</v>
      </c>
      <c r="E647" s="5" t="n">
        <v>45.494</v>
      </c>
      <c r="F647" s="5" t="n">
        <v>0.00507781418374112</v>
      </c>
      <c r="G647" s="5" t="n">
        <v>1.2613</v>
      </c>
      <c r="H647" s="2" t="n">
        <f aca="false">D647*F647</f>
        <v>46.1504921300641</v>
      </c>
      <c r="I647" s="2" t="n">
        <f aca="false">IF(G647="","",D647*1000000/Inputs!$B$4^2*Inputs!$B$5/G647)</f>
        <v>36.6176997602959</v>
      </c>
      <c r="J647" s="2" t="n">
        <f aca="false">IF(C647="A",Inputs!$B$7,IF(C647="B",Inputs!$B$8,IF(C647="C",Inputs!$B$9,0)))</f>
        <v>1</v>
      </c>
      <c r="K647" s="2" t="n">
        <f aca="false">IF(AND(E647&lt;&gt;"",G647&lt;&gt;"",J647&gt;0),IF(I647&gt;=Inputs!$B$6,1,0),0)</f>
        <v>1</v>
      </c>
      <c r="L647" s="5" t="n">
        <v>0</v>
      </c>
      <c r="M647" s="5" t="n">
        <v>9089.3852</v>
      </c>
      <c r="N647" s="5" t="n">
        <v>46.152</v>
      </c>
      <c r="O647" s="4" t="s">
        <v>64</v>
      </c>
      <c r="P647" s="2" t="n">
        <f aca="false">IF(K647=1,J647/G647^2,0)</f>
        <v>0.628583835379576</v>
      </c>
      <c r="Q647" s="2" t="n">
        <f aca="false">IF(K647=1,((E647-Result!$B$7*D647)/G647)^2,0)</f>
        <v>0.120031782033342</v>
      </c>
    </row>
    <row r="648" customFormat="false" ht="15" hidden="false" customHeight="false" outlineLevel="0" collapsed="false">
      <c r="A648" s="4" t="s">
        <v>37</v>
      </c>
      <c r="B648" s="4" t="s">
        <v>714</v>
      </c>
      <c r="C648" s="4" t="s">
        <v>63</v>
      </c>
      <c r="D648" s="5" t="n">
        <v>8897.7786</v>
      </c>
      <c r="E648" s="5" t="n">
        <v>44.951</v>
      </c>
      <c r="F648" s="5" t="n">
        <v>0.00507801747380776</v>
      </c>
      <c r="G648" s="5" t="n">
        <v>1.2613</v>
      </c>
      <c r="H648" s="2" t="n">
        <f aca="false">D648*F648</f>
        <v>45.1830752088727</v>
      </c>
      <c r="I648" s="2" t="n">
        <f aca="false">IF(G648="","",D648*1000000/Inputs!$B$4^2*Inputs!$B$5/G648)</f>
        <v>35.8486761612145</v>
      </c>
      <c r="J648" s="2" t="n">
        <f aca="false">IF(C648="A",Inputs!$B$7,IF(C648="B",Inputs!$B$8,IF(C648="C",Inputs!$B$9,0)))</f>
        <v>1</v>
      </c>
      <c r="K648" s="2" t="n">
        <f aca="false">IF(AND(E648&lt;&gt;"",G648&lt;&gt;"",J648&gt;0),IF(I648&gt;=Inputs!$B$6,1,0),0)</f>
        <v>1</v>
      </c>
      <c r="L648" s="5" t="n">
        <v>1</v>
      </c>
      <c r="M648" s="5" t="n">
        <v>8898.4241</v>
      </c>
      <c r="N648" s="5" t="n">
        <v>45.184</v>
      </c>
      <c r="O648" s="4" t="s">
        <v>64</v>
      </c>
      <c r="P648" s="2" t="n">
        <f aca="false">IF(K648=1,J648/G648^2,0)</f>
        <v>0.628583835379576</v>
      </c>
      <c r="Q648" s="2" t="n">
        <f aca="false">IF(K648=1,((E648-Result!$B$7*D648)/G648)^2,0)</f>
        <v>0.000148479293957019</v>
      </c>
    </row>
    <row r="649" customFormat="false" ht="15" hidden="false" customHeight="false" outlineLevel="0" collapsed="false">
      <c r="A649" s="4" t="s">
        <v>37</v>
      </c>
      <c r="B649" s="4" t="s">
        <v>715</v>
      </c>
      <c r="C649" s="4" t="s">
        <v>63</v>
      </c>
      <c r="D649" s="5" t="n">
        <v>9527.353</v>
      </c>
      <c r="E649" s="5" t="n">
        <v>48.988</v>
      </c>
      <c r="F649" s="5" t="n">
        <v>0.00507763017195801</v>
      </c>
      <c r="G649" s="5" t="n">
        <v>1.2613</v>
      </c>
      <c r="H649" s="2" t="n">
        <f aca="false">D649*F649</f>
        <v>48.3763750516947</v>
      </c>
      <c r="I649" s="2" t="n">
        <f aca="false">IF(G649="","",D649*1000000/Inputs!$B$4^2*Inputs!$B$5/G649)</f>
        <v>38.3851978931657</v>
      </c>
      <c r="J649" s="2" t="n">
        <f aca="false">IF(C649="A",Inputs!$B$7,IF(C649="B",Inputs!$B$8,IF(C649="C",Inputs!$B$9,0)))</f>
        <v>1</v>
      </c>
      <c r="K649" s="2" t="n">
        <f aca="false">IF(AND(E649&lt;&gt;"",G649&lt;&gt;"",J649&gt;0),IF(I649&gt;=Inputs!$B$6,1,0),0)</f>
        <v>1</v>
      </c>
      <c r="L649" s="5" t="n">
        <v>0</v>
      </c>
      <c r="M649" s="5" t="n">
        <v>9528.1515</v>
      </c>
      <c r="N649" s="5" t="n">
        <v>48.378</v>
      </c>
      <c r="O649" s="4" t="s">
        <v>64</v>
      </c>
      <c r="P649" s="2" t="n">
        <f aca="false">IF(K649=1,J649/G649^2,0)</f>
        <v>0.628583835379576</v>
      </c>
      <c r="Q649" s="2" t="n">
        <f aca="false">IF(K649=1,((E649-Result!$B$7*D649)/G649)^2,0)</f>
        <v>0.443501636505105</v>
      </c>
    </row>
    <row r="650" customFormat="false" ht="15" hidden="false" customHeight="false" outlineLevel="0" collapsed="false">
      <c r="A650" s="4" t="s">
        <v>37</v>
      </c>
      <c r="B650" s="4" t="s">
        <v>716</v>
      </c>
      <c r="C650" s="4" t="s">
        <v>63</v>
      </c>
      <c r="D650" s="5" t="n">
        <v>7008.0366</v>
      </c>
      <c r="E650" s="5" t="n">
        <v>36.064</v>
      </c>
      <c r="F650" s="5" t="n">
        <v>0.00507836222936583</v>
      </c>
      <c r="G650" s="5" t="n">
        <v>1.2613</v>
      </c>
      <c r="H650" s="2" t="n">
        <f aca="false">D650*F650</f>
        <v>35.5893483714534</v>
      </c>
      <c r="I650" s="2" t="n">
        <f aca="false">IF(G650="","",D650*1000000/Inputs!$B$4^2*Inputs!$B$5/G650)</f>
        <v>28.2350062744131</v>
      </c>
      <c r="J650" s="2" t="n">
        <f aca="false">IF(C650="A",Inputs!$B$7,IF(C650="B",Inputs!$B$8,IF(C650="C",Inputs!$B$9,0)))</f>
        <v>1</v>
      </c>
      <c r="K650" s="2" t="n">
        <f aca="false">IF(AND(E650&lt;&gt;"",G650&lt;&gt;"",J650&gt;0),IF(I650&gt;=Inputs!$B$6,1,0),0)</f>
        <v>1</v>
      </c>
      <c r="L650" s="5" t="n">
        <v>1</v>
      </c>
      <c r="M650" s="5" t="n">
        <v>7008.9854</v>
      </c>
      <c r="N650" s="5" t="n">
        <v>35.592</v>
      </c>
      <c r="O650" s="4" t="s">
        <v>64</v>
      </c>
      <c r="P650" s="2" t="n">
        <f aca="false">IF(K650=1,J650/G650^2,0)</f>
        <v>0.628583835379576</v>
      </c>
      <c r="Q650" s="2" t="n">
        <f aca="false">IF(K650=1,((E650-Result!$B$7*D650)/G650)^2,0)</f>
        <v>0.263740347994985</v>
      </c>
    </row>
    <row r="651" customFormat="false" ht="15" hidden="false" customHeight="false" outlineLevel="0" collapsed="false">
      <c r="A651" s="4" t="s">
        <v>37</v>
      </c>
      <c r="B651" s="4" t="s">
        <v>717</v>
      </c>
      <c r="C651" s="4" t="s">
        <v>63</v>
      </c>
      <c r="D651" s="5" t="n">
        <v>5032.3998</v>
      </c>
      <c r="E651" s="5" t="n">
        <v>26.159</v>
      </c>
      <c r="F651" s="5" t="n">
        <v>0.0050780624936783</v>
      </c>
      <c r="G651" s="5" t="n">
        <v>1.2613</v>
      </c>
      <c r="H651" s="2" t="n">
        <f aca="false">D651*F651</f>
        <v>25.5548406775742</v>
      </c>
      <c r="I651" s="2" t="n">
        <f aca="false">IF(G651="","",D651*1000000/Inputs!$B$4^2*Inputs!$B$5/G651)</f>
        <v>20.2752708124206</v>
      </c>
      <c r="J651" s="2" t="n">
        <f aca="false">IF(C651="A",Inputs!$B$7,IF(C651="B",Inputs!$B$8,IF(C651="C",Inputs!$B$9,0)))</f>
        <v>1</v>
      </c>
      <c r="K651" s="2" t="n">
        <f aca="false">IF(AND(E651&lt;&gt;"",G651&lt;&gt;"",J651&gt;0),IF(I651&gt;=Inputs!$B$6,1,0),0)</f>
        <v>1</v>
      </c>
      <c r="L651" s="5" t="n">
        <v>1</v>
      </c>
      <c r="M651" s="5" t="n">
        <v>5032.5596</v>
      </c>
      <c r="N651" s="5" t="n">
        <v>25.554</v>
      </c>
      <c r="O651" s="4" t="s">
        <v>64</v>
      </c>
      <c r="P651" s="2" t="n">
        <f aca="false">IF(K651=1,J651/G651^2,0)</f>
        <v>0.628583835379576</v>
      </c>
      <c r="Q651" s="2" t="n">
        <f aca="false">IF(K651=1,((E651-Result!$B$7*D651)/G651)^2,0)</f>
        <v>0.332179383310776</v>
      </c>
    </row>
    <row r="652" customFormat="false" ht="15" hidden="false" customHeight="false" outlineLevel="0" collapsed="false">
      <c r="A652" s="4" t="s">
        <v>37</v>
      </c>
      <c r="B652" s="4" t="s">
        <v>718</v>
      </c>
      <c r="C652" s="4" t="s">
        <v>63</v>
      </c>
      <c r="D652" s="5" t="n">
        <v>2769.8927</v>
      </c>
      <c r="E652" s="5" t="n">
        <v>15.42</v>
      </c>
      <c r="F652" s="5" t="n">
        <v>0.00507779366451187</v>
      </c>
      <c r="G652" s="5" t="n">
        <v>1.2613</v>
      </c>
      <c r="H652" s="2" t="n">
        <f aca="false">D652*F652</f>
        <v>14.0649436034377</v>
      </c>
      <c r="I652" s="2" t="n">
        <f aca="false">IF(G652="","",D652*1000000/Inputs!$B$4^2*Inputs!$B$5/G652)</f>
        <v>11.1597501879415</v>
      </c>
      <c r="J652" s="2" t="n">
        <f aca="false">IF(C652="A",Inputs!$B$7,IF(C652="B",Inputs!$B$8,IF(C652="C",Inputs!$B$9,0)))</f>
        <v>1</v>
      </c>
      <c r="K652" s="2" t="n">
        <f aca="false">IF(AND(E652&lt;&gt;"",G652&lt;&gt;"",J652&gt;0),IF(I652&gt;=Inputs!$B$6,1,0),0)</f>
        <v>1</v>
      </c>
      <c r="L652" s="5" t="n">
        <v>0</v>
      </c>
      <c r="M652" s="5" t="n">
        <v>2769.9828</v>
      </c>
      <c r="N652" s="5" t="n">
        <v>14.064</v>
      </c>
      <c r="O652" s="4" t="s">
        <v>64</v>
      </c>
      <c r="P652" s="2" t="n">
        <f aca="false">IF(K652=1,J652/G652^2,0)</f>
        <v>0.628583835379576</v>
      </c>
      <c r="Q652" s="2" t="n">
        <f aca="false">IF(K652=1,((E652-Result!$B$7*D652)/G652)^2,0)</f>
        <v>1.27086589639467</v>
      </c>
    </row>
    <row r="653" customFormat="false" ht="15" hidden="false" customHeight="false" outlineLevel="0" collapsed="false">
      <c r="A653" s="4" t="s">
        <v>37</v>
      </c>
      <c r="B653" s="4" t="s">
        <v>719</v>
      </c>
      <c r="C653" s="4" t="s">
        <v>63</v>
      </c>
      <c r="D653" s="5" t="n">
        <v>2292.2574</v>
      </c>
      <c r="E653" s="5" t="n">
        <v>13.527</v>
      </c>
      <c r="F653" s="5" t="n">
        <v>0.00507765771138876</v>
      </c>
      <c r="G653" s="5" t="n">
        <v>1.2613</v>
      </c>
      <c r="H653" s="2" t="n">
        <f aca="false">D653*F653</f>
        <v>11.639298463598</v>
      </c>
      <c r="I653" s="2" t="n">
        <f aca="false">IF(G653="","",D653*1000000/Inputs!$B$4^2*Inputs!$B$5/G653)</f>
        <v>9.23538299893722</v>
      </c>
      <c r="J653" s="2" t="n">
        <f aca="false">IF(C653="A",Inputs!$B$7,IF(C653="B",Inputs!$B$8,IF(C653="C",Inputs!$B$9,0)))</f>
        <v>1</v>
      </c>
      <c r="K653" s="2" t="n">
        <f aca="false">IF(AND(E653&lt;&gt;"",G653&lt;&gt;"",J653&gt;0),IF(I653&gt;=Inputs!$B$6,1,0),0)</f>
        <v>1</v>
      </c>
      <c r="L653" s="5" t="n">
        <v>1</v>
      </c>
      <c r="M653" s="5" t="n">
        <v>2292.2905</v>
      </c>
      <c r="N653" s="5" t="n">
        <v>11.639</v>
      </c>
      <c r="O653" s="4" t="s">
        <v>64</v>
      </c>
      <c r="P653" s="2" t="n">
        <f aca="false">IF(K653=1,J653/G653^2,0)</f>
        <v>0.628583835379576</v>
      </c>
      <c r="Q653" s="2" t="n">
        <f aca="false">IF(K653=1,((E653-Result!$B$7*D653)/G653)^2,0)</f>
        <v>2.37233984864467</v>
      </c>
    </row>
    <row r="654" customFormat="false" ht="15" hidden="false" customHeight="false" outlineLevel="0" collapsed="false">
      <c r="A654" s="4" t="s">
        <v>37</v>
      </c>
      <c r="B654" s="4" t="s">
        <v>720</v>
      </c>
      <c r="C654" s="4" t="s">
        <v>63</v>
      </c>
      <c r="D654" s="5" t="n">
        <v>4554.6998</v>
      </c>
      <c r="E654" s="5" t="n">
        <v>24.266</v>
      </c>
      <c r="F654" s="5" t="n">
        <v>0.0050780225103173</v>
      </c>
      <c r="G654" s="5" t="n">
        <v>1.2613</v>
      </c>
      <c r="H654" s="2" t="n">
        <f aca="false">D654*F654</f>
        <v>23.1288681121377</v>
      </c>
      <c r="I654" s="2" t="n">
        <f aca="false">IF(G654="","",D654*1000000/Inputs!$B$4^2*Inputs!$B$5/G654)</f>
        <v>18.3506429505617</v>
      </c>
      <c r="J654" s="2" t="n">
        <f aca="false">IF(C654="A",Inputs!$B$7,IF(C654="B",Inputs!$B$8,IF(C654="C",Inputs!$B$9,0)))</f>
        <v>1</v>
      </c>
      <c r="K654" s="2" t="n">
        <f aca="false">IF(AND(E654&lt;&gt;"",G654&lt;&gt;"",J654&gt;0),IF(I654&gt;=Inputs!$B$6,1,0),0)</f>
        <v>1</v>
      </c>
      <c r="L654" s="5" t="n">
        <v>0</v>
      </c>
      <c r="M654" s="5" t="n">
        <v>4554.8673</v>
      </c>
      <c r="N654" s="5" t="n">
        <v>23.128</v>
      </c>
      <c r="O654" s="4" t="s">
        <v>64</v>
      </c>
      <c r="P654" s="2" t="n">
        <f aca="false">IF(K654=1,J654/G654^2,0)</f>
        <v>0.628583835379576</v>
      </c>
      <c r="Q654" s="2" t="n">
        <f aca="false">IF(K654=1,((E654-Result!$B$7*D654)/G654)^2,0)</f>
        <v>0.979154971586453</v>
      </c>
    </row>
    <row r="655" customFormat="false" ht="15" hidden="false" customHeight="false" outlineLevel="0" collapsed="false">
      <c r="A655" s="4" t="s">
        <v>37</v>
      </c>
      <c r="B655" s="4" t="s">
        <v>721</v>
      </c>
      <c r="C655" s="4" t="s">
        <v>63</v>
      </c>
      <c r="D655" s="5" t="n">
        <v>3288.1784</v>
      </c>
      <c r="E655" s="5" t="n">
        <v>15.692</v>
      </c>
      <c r="F655" s="5" t="n">
        <v>0.00507757088079233</v>
      </c>
      <c r="G655" s="5" t="n">
        <v>1.2613</v>
      </c>
      <c r="H655" s="2" t="n">
        <f aca="false">D655*F655</f>
        <v>16.6959588946903</v>
      </c>
      <c r="I655" s="2" t="n">
        <f aca="false">IF(G655="","",D655*1000000/Inputs!$B$4^2*Inputs!$B$5/G655)</f>
        <v>13.2478956738596</v>
      </c>
      <c r="J655" s="2" t="n">
        <f aca="false">IF(C655="A",Inputs!$B$7,IF(C655="B",Inputs!$B$8,IF(C655="C",Inputs!$B$9,0)))</f>
        <v>1</v>
      </c>
      <c r="K655" s="2" t="n">
        <f aca="false">IF(AND(E655&lt;&gt;"",G655&lt;&gt;"",J655&gt;0),IF(I655&gt;=Inputs!$B$6,1,0),0)</f>
        <v>1</v>
      </c>
      <c r="L655" s="5" t="n">
        <v>0</v>
      </c>
      <c r="M655" s="5" t="n">
        <v>3288.2453</v>
      </c>
      <c r="N655" s="5" t="n">
        <v>16.695</v>
      </c>
      <c r="O655" s="4" t="s">
        <v>64</v>
      </c>
      <c r="P655" s="2" t="n">
        <f aca="false">IF(K655=1,J655/G655^2,0)</f>
        <v>0.628583835379576</v>
      </c>
      <c r="Q655" s="2" t="n">
        <f aca="false">IF(K655=1,((E655-Result!$B$7*D655)/G655)^2,0)</f>
        <v>0.538231640330506</v>
      </c>
    </row>
    <row r="656" customFormat="false" ht="15" hidden="false" customHeight="false" outlineLevel="0" collapsed="false">
      <c r="A656" s="4" t="s">
        <v>37</v>
      </c>
      <c r="B656" s="4" t="s">
        <v>722</v>
      </c>
      <c r="C656" s="4" t="s">
        <v>63</v>
      </c>
      <c r="D656" s="5" t="n">
        <v>4404.0856</v>
      </c>
      <c r="E656" s="5" t="n">
        <v>20.933</v>
      </c>
      <c r="F656" s="5" t="n">
        <v>0.00507772504013953</v>
      </c>
      <c r="G656" s="5" t="n">
        <v>1.2613</v>
      </c>
      <c r="H656" s="2" t="n">
        <f aca="false">D656*F656</f>
        <v>22.3627357300379</v>
      </c>
      <c r="I656" s="2" t="n">
        <f aca="false">IF(G656="","",D656*1000000/Inputs!$B$4^2*Inputs!$B$5/G656)</f>
        <v>17.743826359162</v>
      </c>
      <c r="J656" s="2" t="n">
        <f aca="false">IF(C656="A",Inputs!$B$7,IF(C656="B",Inputs!$B$8,IF(C656="C",Inputs!$B$9,0)))</f>
        <v>1</v>
      </c>
      <c r="K656" s="2" t="n">
        <f aca="false">IF(AND(E656&lt;&gt;"",G656&lt;&gt;"",J656&gt;0),IF(I656&gt;=Inputs!$B$6,1,0),0)</f>
        <v>1</v>
      </c>
      <c r="L656" s="5" t="n">
        <v>1</v>
      </c>
      <c r="M656" s="5" t="n">
        <v>4404.2174</v>
      </c>
      <c r="N656" s="5" t="n">
        <v>22.362</v>
      </c>
      <c r="O656" s="4" t="s">
        <v>64</v>
      </c>
      <c r="P656" s="2" t="n">
        <f aca="false">IF(K656=1,J656/G656^2,0)</f>
        <v>0.628583835379576</v>
      </c>
      <c r="Q656" s="2" t="n">
        <f aca="false">IF(K656=1,((E656-Result!$B$7*D656)/G656)^2,0)</f>
        <v>1.10149597667101</v>
      </c>
    </row>
    <row r="657" customFormat="false" ht="15" hidden="false" customHeight="false" outlineLevel="0" collapsed="false">
      <c r="A657" s="4" t="s">
        <v>37</v>
      </c>
      <c r="B657" s="4" t="s">
        <v>723</v>
      </c>
      <c r="C657" s="4" t="s">
        <v>63</v>
      </c>
      <c r="D657" s="5" t="n">
        <v>3176.7826</v>
      </c>
      <c r="E657" s="5" t="n">
        <v>16.471</v>
      </c>
      <c r="F657" s="5" t="n">
        <v>0.0050776783326625</v>
      </c>
      <c r="G657" s="5" t="n">
        <v>1.2613</v>
      </c>
      <c r="H657" s="2" t="n">
        <f aca="false">D657*F657</f>
        <v>16.1306801755992</v>
      </c>
      <c r="I657" s="2" t="n">
        <f aca="false">IF(G657="","",D657*1000000/Inputs!$B$4^2*Inputs!$B$5/G657)</f>
        <v>12.7990879276296</v>
      </c>
      <c r="J657" s="2" t="n">
        <f aca="false">IF(C657="A",Inputs!$B$7,IF(C657="B",Inputs!$B$8,IF(C657="C",Inputs!$B$9,0)))</f>
        <v>1</v>
      </c>
      <c r="K657" s="2" t="n">
        <f aca="false">IF(AND(E657&lt;&gt;"",G657&lt;&gt;"",J657&gt;0),IF(I657&gt;=Inputs!$B$6,1,0),0)</f>
        <v>1</v>
      </c>
      <c r="L657" s="5" t="n">
        <v>0</v>
      </c>
      <c r="M657" s="5" t="n">
        <v>3176.8577</v>
      </c>
      <c r="N657" s="5" t="n">
        <v>16.13</v>
      </c>
      <c r="O657" s="4" t="s">
        <v>64</v>
      </c>
      <c r="P657" s="2" t="n">
        <f aca="false">IF(K657=1,J657/G657^2,0)</f>
        <v>0.628583835379576</v>
      </c>
      <c r="Q657" s="2" t="n">
        <f aca="false">IF(K657=1,((E657-Result!$B$7*D657)/G657)^2,0)</f>
        <v>0.109101135123048</v>
      </c>
    </row>
    <row r="658" customFormat="false" ht="15" hidden="false" customHeight="false" outlineLevel="0" collapsed="false">
      <c r="A658" s="4" t="s">
        <v>37</v>
      </c>
      <c r="B658" s="4" t="s">
        <v>724</v>
      </c>
      <c r="C658" s="4" t="s">
        <v>63</v>
      </c>
      <c r="D658" s="5" t="n">
        <v>2060.8418</v>
      </c>
      <c r="E658" s="5" t="n">
        <v>11.23</v>
      </c>
      <c r="F658" s="5" t="n">
        <v>0.00507740882816221</v>
      </c>
      <c r="G658" s="5" t="n">
        <v>1.2613</v>
      </c>
      <c r="H658" s="2" t="n">
        <f aca="false">D658*F658</f>
        <v>10.4637363487657</v>
      </c>
      <c r="I658" s="2" t="n">
        <f aca="false">IF(G658="","",D658*1000000/Inputs!$B$4^2*Inputs!$B$5/G658)</f>
        <v>8.30302186971637</v>
      </c>
      <c r="J658" s="2" t="n">
        <f aca="false">IF(C658="A",Inputs!$B$7,IF(C658="B",Inputs!$B$8,IF(C658="C",Inputs!$B$9,0)))</f>
        <v>1</v>
      </c>
      <c r="K658" s="2" t="n">
        <f aca="false">IF(AND(E658&lt;&gt;"",G658&lt;&gt;"",J658&gt;0),IF(I658&gt;=Inputs!$B$6,1,0),0)</f>
        <v>1</v>
      </c>
      <c r="L658" s="5" t="n">
        <v>1</v>
      </c>
      <c r="M658" s="5" t="n">
        <v>2060.8856</v>
      </c>
      <c r="N658" s="5" t="n">
        <v>10.463</v>
      </c>
      <c r="O658" s="4" t="s">
        <v>64</v>
      </c>
      <c r="P658" s="2" t="n">
        <f aca="false">IF(K658=1,J658/G658^2,0)</f>
        <v>0.628583835379576</v>
      </c>
      <c r="Q658" s="2" t="n">
        <f aca="false">IF(K658=1,((E658-Result!$B$7*D658)/G658)^2,0)</f>
        <v>0.417727344881752</v>
      </c>
    </row>
    <row r="659" customFormat="false" ht="15" hidden="false" customHeight="false" outlineLevel="0" collapsed="false">
      <c r="A659" s="4" t="s">
        <v>37</v>
      </c>
      <c r="B659" s="4" t="s">
        <v>725</v>
      </c>
      <c r="C659" s="4" t="s">
        <v>63</v>
      </c>
      <c r="D659" s="5" t="n">
        <v>3535.7031</v>
      </c>
      <c r="E659" s="5" t="n">
        <v>18.705</v>
      </c>
      <c r="F659" s="5" t="n">
        <v>0.00507800578872394</v>
      </c>
      <c r="G659" s="5" t="n">
        <v>1.2613</v>
      </c>
      <c r="H659" s="2" t="n">
        <f aca="false">D659*F659</f>
        <v>17.9543208090092</v>
      </c>
      <c r="I659" s="2" t="n">
        <f aca="false">IF(G659="","",D659*1000000/Inputs!$B$4^2*Inputs!$B$5/G659)</f>
        <v>14.2451595091501</v>
      </c>
      <c r="J659" s="2" t="n">
        <f aca="false">IF(C659="A",Inputs!$B$7,IF(C659="B",Inputs!$B$8,IF(C659="C",Inputs!$B$9,0)))</f>
        <v>1</v>
      </c>
      <c r="K659" s="2" t="n">
        <f aca="false">IF(AND(E659&lt;&gt;"",G659&lt;&gt;"",J659&gt;0),IF(I659&gt;=Inputs!$B$6,1,0),0)</f>
        <v>1</v>
      </c>
      <c r="L659" s="5" t="n">
        <v>1</v>
      </c>
      <c r="M659" s="5" t="n">
        <v>3535.8254</v>
      </c>
      <c r="N659" s="5" t="n">
        <v>17.954</v>
      </c>
      <c r="O659" s="4" t="s">
        <v>64</v>
      </c>
      <c r="P659" s="2" t="n">
        <f aca="false">IF(K659=1,J659/G659^2,0)</f>
        <v>0.628583835379576</v>
      </c>
      <c r="Q659" s="2" t="n">
        <f aca="false">IF(K659=1,((E659-Result!$B$7*D659)/G659)^2,0)</f>
        <v>0.440103501269447</v>
      </c>
    </row>
    <row r="660" customFormat="false" ht="15" hidden="false" customHeight="false" outlineLevel="0" collapsed="false">
      <c r="A660" s="4" t="s">
        <v>37</v>
      </c>
      <c r="B660" s="4" t="s">
        <v>726</v>
      </c>
      <c r="C660" s="4" t="s">
        <v>63</v>
      </c>
      <c r="D660" s="5" t="n">
        <v>1520.812</v>
      </c>
      <c r="E660" s="5" t="n">
        <v>6.77</v>
      </c>
      <c r="F660" s="5" t="n">
        <v>0.00507742706180681</v>
      </c>
      <c r="G660" s="5" t="n">
        <v>1.2613</v>
      </c>
      <c r="H660" s="2" t="n">
        <f aca="false">D660*F660</f>
        <v>7.72181200472054</v>
      </c>
      <c r="I660" s="2" t="n">
        <f aca="false">IF(G660="","",D660*1000000/Inputs!$B$4^2*Inputs!$B$5/G660)</f>
        <v>6.12727056279967</v>
      </c>
      <c r="J660" s="2" t="n">
        <f aca="false">IF(C660="A",Inputs!$B$7,IF(C660="B",Inputs!$B$8,IF(C660="C",Inputs!$B$9,0)))</f>
        <v>1</v>
      </c>
      <c r="K660" s="2" t="n">
        <f aca="false">IF(AND(E660&lt;&gt;"",G660&lt;&gt;"",J660&gt;0),IF(I660&gt;=Inputs!$B$6,1,0),0)</f>
        <v>1</v>
      </c>
      <c r="L660" s="5" t="n">
        <v>1</v>
      </c>
      <c r="M660" s="5" t="n">
        <v>1520.8237</v>
      </c>
      <c r="N660" s="5" t="n">
        <v>7.721</v>
      </c>
      <c r="O660" s="4" t="s">
        <v>64</v>
      </c>
      <c r="P660" s="2" t="n">
        <f aca="false">IF(K660=1,J660/G660^2,0)</f>
        <v>0.628583835379576</v>
      </c>
      <c r="Q660" s="2" t="n">
        <f aca="false">IF(K660=1,((E660-Result!$B$7*D660)/G660)^2,0)</f>
        <v>0.527037585565485</v>
      </c>
    </row>
    <row r="661" customFormat="false" ht="15" hidden="false" customHeight="false" outlineLevel="0" collapsed="false">
      <c r="A661" s="4" t="s">
        <v>37</v>
      </c>
      <c r="B661" s="4" t="s">
        <v>727</v>
      </c>
      <c r="C661" s="4" t="s">
        <v>63</v>
      </c>
      <c r="D661" s="5" t="n">
        <v>1502.7346</v>
      </c>
      <c r="E661" s="5" t="n">
        <v>9.941</v>
      </c>
      <c r="F661" s="5" t="n">
        <v>0.00507787857347181</v>
      </c>
      <c r="G661" s="5" t="n">
        <v>1.2613</v>
      </c>
      <c r="H661" s="2" t="n">
        <f aca="false">D661*F661</f>
        <v>7.63070382695473</v>
      </c>
      <c r="I661" s="2" t="n">
        <f aca="false">IF(G661="","",D661*1000000/Inputs!$B$4^2*Inputs!$B$5/G661)</f>
        <v>6.05443768084454</v>
      </c>
      <c r="J661" s="2" t="n">
        <f aca="false">IF(C661="A",Inputs!$B$7,IF(C661="B",Inputs!$B$8,IF(C661="C",Inputs!$B$9,0)))</f>
        <v>1</v>
      </c>
      <c r="K661" s="2" t="n">
        <f aca="false">IF(AND(E661&lt;&gt;"",G661&lt;&gt;"",J661&gt;0),IF(I661&gt;=Inputs!$B$6,1,0),0)</f>
        <v>1</v>
      </c>
      <c r="L661" s="5" t="n">
        <v>1</v>
      </c>
      <c r="M661" s="5" t="n">
        <v>1502.7446</v>
      </c>
      <c r="N661" s="5" t="n">
        <v>7.63</v>
      </c>
      <c r="O661" s="4" t="s">
        <v>64</v>
      </c>
      <c r="P661" s="2" t="n">
        <f aca="false">IF(K661=1,J661/G661^2,0)</f>
        <v>0.628583835379576</v>
      </c>
      <c r="Q661" s="2" t="n">
        <f aca="false">IF(K661=1,((E661-Result!$B$7*D661)/G661)^2,0)</f>
        <v>3.46157234587553</v>
      </c>
    </row>
    <row r="662" customFormat="false" ht="15" hidden="false" customHeight="false" outlineLevel="0" collapsed="false">
      <c r="A662" s="4" t="s">
        <v>37</v>
      </c>
      <c r="B662" s="4" t="s">
        <v>728</v>
      </c>
      <c r="C662" s="4" t="s">
        <v>63</v>
      </c>
      <c r="D662" s="5" t="n">
        <v>1103.3992</v>
      </c>
      <c r="E662" s="5" t="n">
        <v>5.415</v>
      </c>
      <c r="F662" s="5" t="n">
        <v>0.00507761580114787</v>
      </c>
      <c r="G662" s="5" t="n">
        <v>1.2613</v>
      </c>
      <c r="H662" s="2" t="n">
        <f aca="false">D662*F662</f>
        <v>5.60263721289392</v>
      </c>
      <c r="I662" s="2" t="n">
        <f aca="false">IF(G662="","",D662*1000000/Inputs!$B$4^2*Inputs!$B$5/G662)</f>
        <v>4.44553661936959</v>
      </c>
      <c r="J662" s="2" t="n">
        <f aca="false">IF(C662="A",Inputs!$B$7,IF(C662="B",Inputs!$B$8,IF(C662="C",Inputs!$B$9,0)))</f>
        <v>1</v>
      </c>
      <c r="K662" s="2" t="n">
        <f aca="false">IF(AND(E662&lt;&gt;"",G662&lt;&gt;"",J662&gt;0),IF(I662&gt;=Inputs!$B$6,1,0),0)</f>
        <v>1</v>
      </c>
      <c r="L662" s="5" t="n">
        <v>1</v>
      </c>
      <c r="M662" s="5" t="n">
        <v>1103.403</v>
      </c>
      <c r="N662" s="5" t="n">
        <v>5.602</v>
      </c>
      <c r="O662" s="4" t="s">
        <v>64</v>
      </c>
      <c r="P662" s="2" t="n">
        <f aca="false">IF(K662=1,J662/G662^2,0)</f>
        <v>0.628583835379576</v>
      </c>
      <c r="Q662" s="2" t="n">
        <f aca="false">IF(K662=1,((E662-Result!$B$7*D662)/G662)^2,0)</f>
        <v>0.0163354573541941</v>
      </c>
    </row>
    <row r="663" customFormat="false" ht="15" hidden="false" customHeight="false" outlineLevel="0" collapsed="false">
      <c r="A663" s="4" t="s">
        <v>37</v>
      </c>
      <c r="B663" s="4" t="s">
        <v>729</v>
      </c>
      <c r="C663" s="4"/>
      <c r="D663" s="5" t="n">
        <v>762.1231</v>
      </c>
      <c r="E663" s="5"/>
      <c r="F663" s="5" t="n">
        <v>0.00507786724921853</v>
      </c>
      <c r="G663" s="5" t="n">
        <v>1.2613</v>
      </c>
      <c r="H663" s="2" t="n">
        <f aca="false">D663*F663</f>
        <v>3.8699599293629</v>
      </c>
      <c r="I663" s="2" t="n">
        <f aca="false">IF(G663="","",D663*1000000/Inputs!$B$4^2*Inputs!$B$5/G663)</f>
        <v>3.07055338586205</v>
      </c>
      <c r="J663" s="2" t="n">
        <f aca="false">IF(C663="A",Inputs!$B$7,IF(C663="B",Inputs!$B$8,IF(C663="C",Inputs!$B$9,0)))</f>
        <v>0</v>
      </c>
      <c r="K663" s="2" t="n">
        <f aca="false">IF(AND(E663&lt;&gt;"",G663&lt;&gt;"",J663&gt;0),IF(I663&gt;=Inputs!$B$6,1,0),0)</f>
        <v>0</v>
      </c>
      <c r="L663" s="5" t="n">
        <v>0</v>
      </c>
      <c r="M663" s="5" t="n">
        <v>762.1231</v>
      </c>
      <c r="N663" s="5" t="n">
        <v>3.87</v>
      </c>
      <c r="O663" s="4" t="s">
        <v>64</v>
      </c>
      <c r="P663" s="2" t="n">
        <f aca="false">IF(K663=1,J663/G663^2,0)</f>
        <v>0</v>
      </c>
      <c r="Q663" s="2" t="n">
        <f aca="false">IF(K663=1,((E663-Result!$B$7*D663)/G663)^2,0)</f>
        <v>0</v>
      </c>
    </row>
    <row r="664" customFormat="false" ht="15" hidden="false" customHeight="false" outlineLevel="0" collapsed="false">
      <c r="A664" s="4" t="s">
        <v>37</v>
      </c>
      <c r="B664" s="4" t="s">
        <v>730</v>
      </c>
      <c r="C664" s="4" t="s">
        <v>63</v>
      </c>
      <c r="D664" s="5" t="n">
        <v>11271.8733</v>
      </c>
      <c r="E664" s="5" t="n">
        <v>57.778</v>
      </c>
      <c r="F664" s="5" t="n">
        <v>0.00507787823625175</v>
      </c>
      <c r="G664" s="5" t="n">
        <v>1.2613</v>
      </c>
      <c r="H664" s="2" t="n">
        <f aca="false">D664*F664</f>
        <v>57.2372001118572</v>
      </c>
      <c r="I664" s="2" t="n">
        <f aca="false">IF(G664="","",D664*1000000/Inputs!$B$4^2*Inputs!$B$5/G664)</f>
        <v>45.4137772839099</v>
      </c>
      <c r="J664" s="2" t="n">
        <f aca="false">IF(C664="A",Inputs!$B$7,IF(C664="B",Inputs!$B$8,IF(C664="C",Inputs!$B$9,0)))</f>
        <v>1</v>
      </c>
      <c r="K664" s="2" t="n">
        <f aca="false">IF(AND(E664&lt;&gt;"",G664&lt;&gt;"",J664&gt;0),IF(I664&gt;=Inputs!$B$6,1,0),0)</f>
        <v>1</v>
      </c>
      <c r="L664" s="5" t="n">
        <v>1</v>
      </c>
      <c r="M664" s="5" t="n">
        <v>11273.037</v>
      </c>
      <c r="N664" s="5" t="n">
        <v>57.243</v>
      </c>
      <c r="O664" s="4" t="s">
        <v>64</v>
      </c>
      <c r="P664" s="2" t="n">
        <f aca="false">IF(K664=1,J664/G664^2,0)</f>
        <v>0.628583835379576</v>
      </c>
      <c r="Q664" s="2" t="n">
        <f aca="false">IF(K664=1,((E664-Result!$B$7*D664)/G664)^2,0)</f>
        <v>0.416249181915418</v>
      </c>
    </row>
    <row r="665" customFormat="false" ht="15" hidden="false" customHeight="false" outlineLevel="0" collapsed="false">
      <c r="A665" s="4" t="s">
        <v>37</v>
      </c>
      <c r="B665" s="4" t="s">
        <v>731</v>
      </c>
      <c r="C665" s="4" t="s">
        <v>63</v>
      </c>
      <c r="D665" s="5" t="n">
        <v>10069.4646</v>
      </c>
      <c r="E665" s="5" t="n">
        <v>50.845</v>
      </c>
      <c r="F665" s="5" t="n">
        <v>0.00507817560766618</v>
      </c>
      <c r="G665" s="5" t="n">
        <v>1.2613</v>
      </c>
      <c r="H665" s="2" t="n">
        <f aca="false">D665*F665</f>
        <v>51.1345095139781</v>
      </c>
      <c r="I665" s="2" t="n">
        <f aca="false">IF(G665="","",D665*1000000/Inputs!$B$4^2*Inputs!$B$5/G665)</f>
        <v>40.5693366614239</v>
      </c>
      <c r="J665" s="2" t="n">
        <f aca="false">IF(C665="A",Inputs!$B$7,IF(C665="B",Inputs!$B$8,IF(C665="C",Inputs!$B$9,0)))</f>
        <v>1</v>
      </c>
      <c r="K665" s="2" t="n">
        <f aca="false">IF(AND(E665&lt;&gt;"",G665&lt;&gt;"",J665&gt;0),IF(I665&gt;=Inputs!$B$6,1,0),0)</f>
        <v>1</v>
      </c>
      <c r="L665" s="5" t="n">
        <v>0</v>
      </c>
      <c r="M665" s="5" t="n">
        <v>10070.4523</v>
      </c>
      <c r="N665" s="5" t="n">
        <v>51.14</v>
      </c>
      <c r="O665" s="4" t="s">
        <v>64</v>
      </c>
      <c r="P665" s="2" t="n">
        <f aca="false">IF(K665=1,J665/G665^2,0)</f>
        <v>0.628583835379576</v>
      </c>
      <c r="Q665" s="2" t="n">
        <f aca="false">IF(K665=1,((E665-Result!$B$7*D665)/G665)^2,0)</f>
        <v>0.00114473246578406</v>
      </c>
    </row>
    <row r="666" customFormat="false" ht="15" hidden="false" customHeight="false" outlineLevel="0" collapsed="false">
      <c r="A666" s="4" t="s">
        <v>37</v>
      </c>
      <c r="B666" s="4" t="s">
        <v>732</v>
      </c>
      <c r="C666" s="4" t="s">
        <v>63</v>
      </c>
      <c r="D666" s="5" t="n">
        <v>8525.4417</v>
      </c>
      <c r="E666" s="5" t="n">
        <v>43.549</v>
      </c>
      <c r="F666" s="5" t="n">
        <v>0.00507788047830985</v>
      </c>
      <c r="G666" s="5" t="n">
        <v>1.2613</v>
      </c>
      <c r="H666" s="2" t="n">
        <f aca="false">D666*F666</f>
        <v>43.2911739773988</v>
      </c>
      <c r="I666" s="2" t="n">
        <f aca="false">IF(G666="","",D666*1000000/Inputs!$B$4^2*Inputs!$B$5/G666)</f>
        <v>34.3485506185346</v>
      </c>
      <c r="J666" s="2" t="n">
        <f aca="false">IF(C666="A",Inputs!$B$7,IF(C666="B",Inputs!$B$8,IF(C666="C",Inputs!$B$9,0)))</f>
        <v>1</v>
      </c>
      <c r="K666" s="2" t="n">
        <f aca="false">IF(AND(E666&lt;&gt;"",G666&lt;&gt;"",J666&gt;0),IF(I666&gt;=Inputs!$B$6,1,0),0)</f>
        <v>1</v>
      </c>
      <c r="L666" s="5" t="n">
        <v>1</v>
      </c>
      <c r="M666" s="5" t="n">
        <v>8526.2033</v>
      </c>
      <c r="N666" s="5" t="n">
        <v>43.295</v>
      </c>
      <c r="O666" s="4" t="s">
        <v>64</v>
      </c>
      <c r="P666" s="2" t="n">
        <f aca="false">IF(K666=1,J666/G666^2,0)</f>
        <v>0.628583835379576</v>
      </c>
      <c r="Q666" s="2" t="n">
        <f aca="false">IF(K666=1,((E666-Result!$B$7*D666)/G666)^2,0)</f>
        <v>0.135504182848692</v>
      </c>
    </row>
    <row r="667" customFormat="false" ht="15" hidden="false" customHeight="false" outlineLevel="0" collapsed="false">
      <c r="A667" s="4" t="s">
        <v>37</v>
      </c>
      <c r="B667" s="4" t="s">
        <v>733</v>
      </c>
      <c r="C667" s="4" t="s">
        <v>63</v>
      </c>
      <c r="D667" s="5" t="n">
        <v>9727.7758</v>
      </c>
      <c r="E667" s="5" t="n">
        <v>50.482</v>
      </c>
      <c r="F667" s="5" t="n">
        <v>0.00507757542794345</v>
      </c>
      <c r="G667" s="5" t="n">
        <v>1.2613</v>
      </c>
      <c r="H667" s="2" t="n">
        <f aca="false">D667*F667</f>
        <v>49.393515370623</v>
      </c>
      <c r="I667" s="2" t="n">
        <f aca="false">IF(G667="","",D667*1000000/Inputs!$B$4^2*Inputs!$B$5/G667)</f>
        <v>39.1926906815932</v>
      </c>
      <c r="J667" s="2" t="n">
        <f aca="false">IF(C667="A",Inputs!$B$7,IF(C667="B",Inputs!$B$8,IF(C667="C",Inputs!$B$9,0)))</f>
        <v>1</v>
      </c>
      <c r="K667" s="2" t="n">
        <f aca="false">IF(AND(E667&lt;&gt;"",G667&lt;&gt;"",J667&gt;0),IF(I667&gt;=Inputs!$B$6,1,0),0)</f>
        <v>1</v>
      </c>
      <c r="L667" s="5" t="n">
        <v>0</v>
      </c>
      <c r="M667" s="5" t="n">
        <v>9728.788</v>
      </c>
      <c r="N667" s="5" t="n">
        <v>49.398</v>
      </c>
      <c r="O667" s="4" t="s">
        <v>64</v>
      </c>
      <c r="P667" s="2" t="n">
        <f aca="false">IF(K667=1,J667/G667^2,0)</f>
        <v>0.628583835379576</v>
      </c>
      <c r="Q667" s="2" t="n">
        <f aca="false">IF(K667=1,((E667-Result!$B$7*D667)/G667)^2,0)</f>
        <v>1.0970791976394</v>
      </c>
    </row>
    <row r="668" customFormat="false" ht="15" hidden="false" customHeight="false" outlineLevel="0" collapsed="false">
      <c r="A668" s="4" t="s">
        <v>37</v>
      </c>
      <c r="B668" s="4" t="s">
        <v>734</v>
      </c>
      <c r="C668" s="4" t="s">
        <v>63</v>
      </c>
      <c r="D668" s="5" t="n">
        <v>1267.0344</v>
      </c>
      <c r="E668" s="5" t="n">
        <v>6.16</v>
      </c>
      <c r="F668" s="5" t="n">
        <v>0.00507891946766518</v>
      </c>
      <c r="G668" s="5" t="n">
        <v>1.2613</v>
      </c>
      <c r="H668" s="2" t="n">
        <f aca="false">D668*F668</f>
        <v>6.43516568036147</v>
      </c>
      <c r="I668" s="2" t="n">
        <f aca="false">IF(G668="","",D668*1000000/Inputs!$B$4^2*Inputs!$B$5/G668)</f>
        <v>5.10481412638416</v>
      </c>
      <c r="J668" s="2" t="n">
        <f aca="false">IF(C668="A",Inputs!$B$7,IF(C668="B",Inputs!$B$8,IF(C668="C",Inputs!$B$9,0)))</f>
        <v>1</v>
      </c>
      <c r="K668" s="2" t="n">
        <f aca="false">IF(AND(E668&lt;&gt;"",G668&lt;&gt;"",J668&gt;0),IF(I668&gt;=Inputs!$B$6,1,0),0)</f>
        <v>1</v>
      </c>
      <c r="L668" s="5" t="n">
        <v>1</v>
      </c>
      <c r="M668" s="5" t="n">
        <v>1267.0529</v>
      </c>
      <c r="N668" s="5" t="n">
        <v>6.435</v>
      </c>
      <c r="O668" s="4" t="s">
        <v>64</v>
      </c>
      <c r="P668" s="2" t="n">
        <f aca="false">IF(K668=1,J668/G668^2,0)</f>
        <v>0.628583835379576</v>
      </c>
      <c r="Q668" s="2" t="n">
        <f aca="false">IF(K668=1,((E668-Result!$B$7*D668)/G668)^2,0)</f>
        <v>0.0371673992035751</v>
      </c>
    </row>
    <row r="669" customFormat="false" ht="15" hidden="false" customHeight="false" outlineLevel="0" collapsed="false">
      <c r="A669" s="4" t="s">
        <v>37</v>
      </c>
      <c r="B669" s="4" t="s">
        <v>735</v>
      </c>
      <c r="C669" s="4" t="s">
        <v>63</v>
      </c>
      <c r="D669" s="5" t="n">
        <v>5133.6574</v>
      </c>
      <c r="E669" s="5" t="n">
        <v>26.175</v>
      </c>
      <c r="F669" s="5" t="n">
        <v>0.00507863512817448</v>
      </c>
      <c r="G669" s="5" t="n">
        <v>1.2613</v>
      </c>
      <c r="H669" s="2" t="n">
        <f aca="false">D669*F669</f>
        <v>26.0719728076528</v>
      </c>
      <c r="I669" s="2" t="n">
        <f aca="false">IF(G669="","",D669*1000000/Inputs!$B$4^2*Inputs!$B$5/G669)</f>
        <v>20.6832322907228</v>
      </c>
      <c r="J669" s="2" t="n">
        <f aca="false">IF(C669="A",Inputs!$B$7,IF(C669="B",Inputs!$B$8,IF(C669="C",Inputs!$B$9,0)))</f>
        <v>1</v>
      </c>
      <c r="K669" s="2" t="n">
        <f aca="false">IF(AND(E669&lt;&gt;"",G669&lt;&gt;"",J669&gt;0),IF(I669&gt;=Inputs!$B$6,1,0),0)</f>
        <v>1</v>
      </c>
      <c r="L669" s="5" t="n">
        <v>1</v>
      </c>
      <c r="M669" s="5" t="n">
        <v>5134.0342</v>
      </c>
      <c r="N669" s="5" t="n">
        <v>26.074</v>
      </c>
      <c r="O669" s="4" t="s">
        <v>64</v>
      </c>
      <c r="P669" s="2" t="n">
        <f aca="false">IF(K669=1,J669/G669^2,0)</f>
        <v>0.628583835379576</v>
      </c>
      <c r="Q669" s="2" t="n">
        <f aca="false">IF(K669=1,((E669-Result!$B$7*D669)/G669)^2,0)</f>
        <v>0.0336082802297533</v>
      </c>
    </row>
    <row r="670" customFormat="false" ht="15" hidden="false" customHeight="false" outlineLevel="0" collapsed="false">
      <c r="A670" s="4" t="s">
        <v>37</v>
      </c>
      <c r="B670" s="4" t="s">
        <v>736</v>
      </c>
      <c r="C670" s="4" t="s">
        <v>63</v>
      </c>
      <c r="D670" s="5" t="n">
        <v>9027.9848</v>
      </c>
      <c r="E670" s="5" t="n">
        <v>45.793</v>
      </c>
      <c r="F670" s="5" t="n">
        <v>0.00507844655261708</v>
      </c>
      <c r="G670" s="5" t="n">
        <v>1.2613</v>
      </c>
      <c r="H670" s="2" t="n">
        <f aca="false">D670*F670</f>
        <v>45.8481382846394</v>
      </c>
      <c r="I670" s="2" t="n">
        <f aca="false">IF(G670="","",D670*1000000/Inputs!$B$4^2*Inputs!$B$5/G670)</f>
        <v>36.3732700073664</v>
      </c>
      <c r="J670" s="2" t="n">
        <f aca="false">IF(C670="A",Inputs!$B$7,IF(C670="B",Inputs!$B$8,IF(C670="C",Inputs!$B$9,0)))</f>
        <v>1</v>
      </c>
      <c r="K670" s="2" t="n">
        <f aca="false">IF(AND(E670&lt;&gt;"",G670&lt;&gt;"",J670&gt;0),IF(I670&gt;=Inputs!$B$6,1,0),0)</f>
        <v>1</v>
      </c>
      <c r="L670" s="5" t="n">
        <v>0</v>
      </c>
      <c r="M670" s="5" t="n">
        <v>9028.8555</v>
      </c>
      <c r="N670" s="5" t="n">
        <v>45.852</v>
      </c>
      <c r="O670" s="4" t="s">
        <v>64</v>
      </c>
      <c r="P670" s="2" t="n">
        <f aca="false">IF(K670=1,J670/G670^2,0)</f>
        <v>0.628583835379576</v>
      </c>
      <c r="Q670" s="2" t="n">
        <f aca="false">IF(K670=1,((E670-Result!$B$7*D670)/G670)^2,0)</f>
        <v>0.0178707738192899</v>
      </c>
    </row>
    <row r="671" customFormat="false" ht="15" hidden="false" customHeight="false" outlineLevel="0" collapsed="false">
      <c r="A671" s="4" t="s">
        <v>37</v>
      </c>
      <c r="B671" s="4" t="s">
        <v>737</v>
      </c>
      <c r="C671" s="4" t="s">
        <v>63</v>
      </c>
      <c r="D671" s="5" t="n">
        <v>9199.9501</v>
      </c>
      <c r="E671" s="5" t="n">
        <v>46.432</v>
      </c>
      <c r="F671" s="5" t="n">
        <v>0.00507860230440168</v>
      </c>
      <c r="G671" s="5" t="n">
        <v>1.2613</v>
      </c>
      <c r="H671" s="2" t="n">
        <f aca="false">D671*F671</f>
        <v>46.7228877782404</v>
      </c>
      <c r="I671" s="2" t="n">
        <f aca="false">IF(G671="","",D671*1000000/Inputs!$B$4^2*Inputs!$B$5/G671)</f>
        <v>37.0661090436924</v>
      </c>
      <c r="J671" s="2" t="n">
        <f aca="false">IF(C671="A",Inputs!$B$7,IF(C671="B",Inputs!$B$8,IF(C671="C",Inputs!$B$9,0)))</f>
        <v>1</v>
      </c>
      <c r="K671" s="2" t="n">
        <f aca="false">IF(AND(E671&lt;&gt;"",G671&lt;&gt;"",J671&gt;0),IF(I671&gt;=Inputs!$B$6,1,0),0)</f>
        <v>1</v>
      </c>
      <c r="L671" s="5" t="n">
        <v>1</v>
      </c>
      <c r="M671" s="5" t="n">
        <v>9200.7476</v>
      </c>
      <c r="N671" s="5" t="n">
        <v>46.726</v>
      </c>
      <c r="O671" s="4" t="s">
        <v>64</v>
      </c>
      <c r="P671" s="2" t="n">
        <f aca="false">IF(K671=1,J671/G671^2,0)</f>
        <v>0.628583835379576</v>
      </c>
      <c r="Q671" s="2" t="n">
        <f aca="false">IF(K671=1,((E671-Result!$B$7*D671)/G671)^2,0)</f>
        <v>0.00237297533183108</v>
      </c>
    </row>
    <row r="672" customFormat="false" ht="15" hidden="false" customHeight="false" outlineLevel="0" collapsed="false">
      <c r="A672" s="4" t="s">
        <v>37</v>
      </c>
      <c r="B672" s="4" t="s">
        <v>738</v>
      </c>
      <c r="C672" s="4" t="s">
        <v>63</v>
      </c>
      <c r="D672" s="5" t="n">
        <v>5305.4142</v>
      </c>
      <c r="E672" s="5" t="n">
        <v>26.814</v>
      </c>
      <c r="F672" s="5" t="n">
        <v>0.00507890293671013</v>
      </c>
      <c r="G672" s="5" t="n">
        <v>1.2613</v>
      </c>
      <c r="H672" s="2" t="n">
        <f aca="false">D672*F672</f>
        <v>26.9456837608436</v>
      </c>
      <c r="I672" s="2" t="n">
        <f aca="false">IF(G672="","",D672*1000000/Inputs!$B$4^2*Inputs!$B$5/G672)</f>
        <v>21.3752312916517</v>
      </c>
      <c r="J672" s="2" t="n">
        <f aca="false">IF(C672="A",Inputs!$B$7,IF(C672="B",Inputs!$B$8,IF(C672="C",Inputs!$B$9,0)))</f>
        <v>1</v>
      </c>
      <c r="K672" s="2" t="n">
        <f aca="false">IF(AND(E672&lt;&gt;"",G672&lt;&gt;"",J672&gt;0),IF(I672&gt;=Inputs!$B$6,1,0),0)</f>
        <v>1</v>
      </c>
      <c r="L672" s="5" t="n">
        <v>0</v>
      </c>
      <c r="M672" s="5" t="n">
        <v>5305.9263</v>
      </c>
      <c r="N672" s="5" t="n">
        <v>26.948</v>
      </c>
      <c r="O672" s="4" t="s">
        <v>64</v>
      </c>
      <c r="P672" s="2" t="n">
        <f aca="false">IF(K672=1,J672/G672^2,0)</f>
        <v>0.628583835379576</v>
      </c>
      <c r="Q672" s="2" t="n">
        <f aca="false">IF(K672=1,((E672-Result!$B$7*D672)/G672)^2,0)</f>
        <v>3.11947379131293E-006</v>
      </c>
    </row>
    <row r="673" customFormat="false" ht="15" hidden="false" customHeight="false" outlineLevel="0" collapsed="false">
      <c r="A673" s="4" t="s">
        <v>37</v>
      </c>
      <c r="B673" s="4" t="s">
        <v>739</v>
      </c>
      <c r="C673" s="4" t="s">
        <v>63</v>
      </c>
      <c r="D673" s="5" t="n">
        <v>2575.1262</v>
      </c>
      <c r="E673" s="5" t="n">
        <v>12.143</v>
      </c>
      <c r="F673" s="5" t="n">
        <v>0.00507743894810949</v>
      </c>
      <c r="G673" s="5" t="n">
        <v>1.2613</v>
      </c>
      <c r="H673" s="2" t="n">
        <f aca="false">D673*F673</f>
        <v>13.0750460641772</v>
      </c>
      <c r="I673" s="2" t="n">
        <f aca="false">IF(G673="","",D673*1000000/Inputs!$B$4^2*Inputs!$B$5/G673)</f>
        <v>10.3750463310088</v>
      </c>
      <c r="J673" s="2" t="n">
        <f aca="false">IF(C673="A",Inputs!$B$7,IF(C673="B",Inputs!$B$8,IF(C673="C",Inputs!$B$9,0)))</f>
        <v>1</v>
      </c>
      <c r="K673" s="2" t="n">
        <f aca="false">IF(AND(E673&lt;&gt;"",G673&lt;&gt;"",J673&gt;0),IF(I673&gt;=Inputs!$B$6,1,0),0)</f>
        <v>1</v>
      </c>
      <c r="L673" s="5" t="n">
        <v>1</v>
      </c>
      <c r="M673" s="5" t="n">
        <v>2575.1649</v>
      </c>
      <c r="N673" s="5" t="n">
        <v>13.075</v>
      </c>
      <c r="O673" s="4" t="s">
        <v>64</v>
      </c>
      <c r="P673" s="2" t="n">
        <f aca="false">IF(K673=1,J673/G673^2,0)</f>
        <v>0.628583835379576</v>
      </c>
      <c r="Q673" s="2" t="n">
        <f aca="false">IF(K673=1,((E673-Result!$B$7*D673)/G673)^2,0)</f>
        <v>0.476670711958544</v>
      </c>
    </row>
    <row r="674" customFormat="false" ht="15" hidden="false" customHeight="false" outlineLevel="0" collapsed="false">
      <c r="A674" s="4" t="s">
        <v>37</v>
      </c>
      <c r="B674" s="4" t="s">
        <v>740</v>
      </c>
      <c r="C674" s="4" t="s">
        <v>63</v>
      </c>
      <c r="D674" s="5" t="n">
        <v>3292.1054</v>
      </c>
      <c r="E674" s="5" t="n">
        <v>16.825</v>
      </c>
      <c r="F674" s="5" t="n">
        <v>0.00507699959376856</v>
      </c>
      <c r="G674" s="5" t="n">
        <v>1.2613</v>
      </c>
      <c r="H674" s="2" t="n">
        <f aca="false">D674*F674</f>
        <v>16.7140177784433</v>
      </c>
      <c r="I674" s="2" t="n">
        <f aca="false">IF(G674="","",D674*1000000/Inputs!$B$4^2*Inputs!$B$5/G674)</f>
        <v>13.2637173477418</v>
      </c>
      <c r="J674" s="2" t="n">
        <f aca="false">IF(C674="A",Inputs!$B$7,IF(C674="B",Inputs!$B$8,IF(C674="C",Inputs!$B$9,0)))</f>
        <v>1</v>
      </c>
      <c r="K674" s="2" t="n">
        <f aca="false">IF(AND(E674&lt;&gt;"",G674&lt;&gt;"",J674&gt;0),IF(I674&gt;=Inputs!$B$6,1,0),0)</f>
        <v>1</v>
      </c>
      <c r="L674" s="5" t="n">
        <v>1</v>
      </c>
      <c r="M674" s="5" t="n">
        <v>3292.1609</v>
      </c>
      <c r="N674" s="5" t="n">
        <v>16.714</v>
      </c>
      <c r="O674" s="4" t="s">
        <v>64</v>
      </c>
      <c r="P674" s="2" t="n">
        <f aca="false">IF(K674=1,J674/G674^2,0)</f>
        <v>0.628583835379576</v>
      </c>
      <c r="Q674" s="2" t="n">
        <f aca="false">IF(K674=1,((E674-Result!$B$7*D674)/G674)^2,0)</f>
        <v>0.0221719502532534</v>
      </c>
    </row>
    <row r="675" customFormat="false" ht="15" hidden="false" customHeight="false" outlineLevel="0" collapsed="false">
      <c r="A675" s="4" t="s">
        <v>37</v>
      </c>
      <c r="B675" s="4" t="s">
        <v>741</v>
      </c>
      <c r="C675" s="4" t="s">
        <v>63</v>
      </c>
      <c r="D675" s="5" t="n">
        <v>2320.3291</v>
      </c>
      <c r="E675" s="5" t="n">
        <v>11.993</v>
      </c>
      <c r="F675" s="5" t="n">
        <v>0.00507777331286431</v>
      </c>
      <c r="G675" s="5" t="n">
        <v>1.2613</v>
      </c>
      <c r="H675" s="2" t="n">
        <f aca="false">D675*F675</f>
        <v>11.7821051810425</v>
      </c>
      <c r="I675" s="2" t="n">
        <f aca="false">IF(G675="","",D675*1000000/Inputs!$B$4^2*Inputs!$B$5/G675)</f>
        <v>9.348482383383</v>
      </c>
      <c r="J675" s="2" t="n">
        <f aca="false">IF(C675="A",Inputs!$B$7,IF(C675="B",Inputs!$B$8,IF(C675="C",Inputs!$B$9,0)))</f>
        <v>1</v>
      </c>
      <c r="K675" s="2" t="n">
        <f aca="false">IF(AND(E675&lt;&gt;"",G675&lt;&gt;"",J675&gt;0),IF(I675&gt;=Inputs!$B$6,1,0),0)</f>
        <v>1</v>
      </c>
      <c r="L675" s="5" t="n">
        <v>1</v>
      </c>
      <c r="M675" s="5" t="n">
        <v>2320.3687</v>
      </c>
      <c r="N675" s="5" t="n">
        <v>11.782</v>
      </c>
      <c r="O675" s="4" t="s">
        <v>64</v>
      </c>
      <c r="P675" s="2" t="n">
        <f aca="false">IF(K675=1,J675/G675^2,0)</f>
        <v>0.628583835379576</v>
      </c>
      <c r="Q675" s="2" t="n">
        <f aca="false">IF(K675=1,((E675-Result!$B$7*D675)/G675)^2,0)</f>
        <v>0.0447574427401863</v>
      </c>
    </row>
    <row r="676" customFormat="false" ht="15" hidden="false" customHeight="false" outlineLevel="0" collapsed="false">
      <c r="A676" s="4" t="s">
        <v>37</v>
      </c>
      <c r="B676" s="4" t="s">
        <v>742</v>
      </c>
      <c r="C676" s="4"/>
      <c r="D676" s="5" t="n">
        <v>2552.2772</v>
      </c>
      <c r="E676" s="5"/>
      <c r="F676" s="5" t="n">
        <v>0.00507733486699367</v>
      </c>
      <c r="G676" s="5" t="n">
        <v>1.2613</v>
      </c>
      <c r="H676" s="2" t="n">
        <f aca="false">D676*F676</f>
        <v>12.958766017793</v>
      </c>
      <c r="I676" s="2" t="n">
        <f aca="false">IF(G676="","",D676*1000000/Inputs!$B$4^2*Inputs!$B$5/G676)</f>
        <v>10.2829889267475</v>
      </c>
      <c r="J676" s="2" t="n">
        <f aca="false">IF(C676="A",Inputs!$B$7,IF(C676="B",Inputs!$B$8,IF(C676="C",Inputs!$B$9,0)))</f>
        <v>0</v>
      </c>
      <c r="K676" s="2" t="n">
        <f aca="false">IF(AND(E676&lt;&gt;"",G676&lt;&gt;"",J676&gt;0),IF(I676&gt;=Inputs!$B$6,1,0),0)</f>
        <v>0</v>
      </c>
      <c r="L676" s="5" t="n">
        <v>0</v>
      </c>
      <c r="M676" s="5" t="n">
        <v>2552.2772</v>
      </c>
      <c r="N676" s="5" t="n">
        <v>12.959</v>
      </c>
      <c r="O676" s="4" t="s">
        <v>64</v>
      </c>
      <c r="P676" s="2" t="n">
        <f aca="false">IF(K676=1,J676/G676^2,0)</f>
        <v>0</v>
      </c>
      <c r="Q676" s="2" t="n">
        <f aca="false">IF(K676=1,((E676-Result!$B$7*D676)/G676)^2,0)</f>
        <v>0</v>
      </c>
    </row>
    <row r="677" customFormat="false" ht="15" hidden="false" customHeight="false" outlineLevel="0" collapsed="false">
      <c r="A677" s="4" t="s">
        <v>37</v>
      </c>
      <c r="B677" s="4" t="s">
        <v>743</v>
      </c>
      <c r="C677" s="4" t="s">
        <v>63</v>
      </c>
      <c r="D677" s="5" t="n">
        <v>4527.8559</v>
      </c>
      <c r="E677" s="5" t="n">
        <v>22.714</v>
      </c>
      <c r="F677" s="5" t="n">
        <v>0.00507741694130508</v>
      </c>
      <c r="G677" s="5" t="n">
        <v>1.2613</v>
      </c>
      <c r="H677" s="2" t="n">
        <f aca="false">D677*F677</f>
        <v>22.9898122544481</v>
      </c>
      <c r="I677" s="2" t="n">
        <f aca="false">IF(G677="","",D677*1000000/Inputs!$B$4^2*Inputs!$B$5/G677)</f>
        <v>18.2424903069339</v>
      </c>
      <c r="J677" s="2" t="n">
        <f aca="false">IF(C677="A",Inputs!$B$7,IF(C677="B",Inputs!$B$8,IF(C677="C",Inputs!$B$9,0)))</f>
        <v>1</v>
      </c>
      <c r="K677" s="2" t="n">
        <f aca="false">IF(AND(E677&lt;&gt;"",G677&lt;&gt;"",J677&gt;0),IF(I677&gt;=Inputs!$B$6,1,0),0)</f>
        <v>1</v>
      </c>
      <c r="L677" s="5" t="n">
        <v>1</v>
      </c>
      <c r="M677" s="5" t="n">
        <v>4527.9981</v>
      </c>
      <c r="N677" s="5" t="n">
        <v>22.99</v>
      </c>
      <c r="O677" s="4" t="s">
        <v>64</v>
      </c>
      <c r="P677" s="2" t="n">
        <f aca="false">IF(K677=1,J677/G677^2,0)</f>
        <v>0.628583835379576</v>
      </c>
      <c r="Q677" s="2" t="n">
        <f aca="false">IF(K677=1,((E677-Result!$B$7*D677)/G677)^2,0)</f>
        <v>0.0177950775359472</v>
      </c>
    </row>
    <row r="678" customFormat="false" ht="15" hidden="false" customHeight="false" outlineLevel="0" collapsed="false">
      <c r="A678" s="4" t="s">
        <v>37</v>
      </c>
      <c r="B678" s="4" t="s">
        <v>744</v>
      </c>
      <c r="C678" s="4" t="s">
        <v>63</v>
      </c>
      <c r="D678" s="5" t="n">
        <v>4567.1821</v>
      </c>
      <c r="E678" s="5" t="n">
        <v>22.566</v>
      </c>
      <c r="F678" s="5" t="n">
        <v>0.00507694122016623</v>
      </c>
      <c r="G678" s="5" t="n">
        <v>1.2613</v>
      </c>
      <c r="H678" s="2" t="n">
        <f aca="false">D678*F678</f>
        <v>23.1873150634954</v>
      </c>
      <c r="I678" s="2" t="n">
        <f aca="false">IF(G678="","",D678*1000000/Inputs!$B$4^2*Inputs!$B$5/G678)</f>
        <v>18.4009334725631</v>
      </c>
      <c r="J678" s="2" t="n">
        <f aca="false">IF(C678="A",Inputs!$B$7,IF(C678="B",Inputs!$B$8,IF(C678="C",Inputs!$B$9,0)))</f>
        <v>1</v>
      </c>
      <c r="K678" s="2" t="n">
        <f aca="false">IF(AND(E678&lt;&gt;"",G678&lt;&gt;"",J678&gt;0),IF(I678&gt;=Inputs!$B$6,1,0),0)</f>
        <v>1</v>
      </c>
      <c r="L678" s="5" t="n">
        <v>1</v>
      </c>
      <c r="M678" s="5" t="n">
        <v>4567.3117</v>
      </c>
      <c r="N678" s="5" t="n">
        <v>23.188</v>
      </c>
      <c r="O678" s="4" t="s">
        <v>64</v>
      </c>
      <c r="P678" s="2" t="n">
        <f aca="false">IF(K678=1,J678/G678^2,0)</f>
        <v>0.628583835379576</v>
      </c>
      <c r="Q678" s="2" t="n">
        <f aca="false">IF(K678=1,((E678-Result!$B$7*D678)/G678)^2,0)</f>
        <v>0.166713867211599</v>
      </c>
    </row>
    <row r="679" customFormat="false" ht="15" hidden="false" customHeight="false" outlineLevel="0" collapsed="false">
      <c r="A679" s="4" t="s">
        <v>37</v>
      </c>
      <c r="B679" s="4" t="s">
        <v>745</v>
      </c>
      <c r="C679" s="4"/>
      <c r="D679" s="5" t="n">
        <v>6543.0327</v>
      </c>
      <c r="E679" s="5"/>
      <c r="F679" s="5" t="n">
        <v>0.00507711664440646</v>
      </c>
      <c r="G679" s="5" t="n">
        <v>1.2613</v>
      </c>
      <c r="H679" s="2" t="n">
        <f aca="false">D679*F679</f>
        <v>33.2197402260658</v>
      </c>
      <c r="I679" s="2" t="n">
        <f aca="false">IF(G679="","",D679*1000000/Inputs!$B$4^2*Inputs!$B$5/G679)</f>
        <v>26.3615303233705</v>
      </c>
      <c r="J679" s="2" t="n">
        <f aca="false">IF(C679="A",Inputs!$B$7,IF(C679="B",Inputs!$B$8,IF(C679="C",Inputs!$B$9,0)))</f>
        <v>0</v>
      </c>
      <c r="K679" s="2" t="n">
        <f aca="false">IF(AND(E679&lt;&gt;"",G679&lt;&gt;"",J679&gt;0),IF(I679&gt;=Inputs!$B$6,1,0),0)</f>
        <v>0</v>
      </c>
      <c r="L679" s="5" t="n">
        <v>0</v>
      </c>
      <c r="M679" s="5" t="n">
        <v>6543.0327</v>
      </c>
      <c r="N679" s="5" t="n">
        <v>33.219</v>
      </c>
      <c r="O679" s="4" t="s">
        <v>64</v>
      </c>
      <c r="P679" s="2" t="n">
        <f aca="false">IF(K679=1,J679/G679^2,0)</f>
        <v>0</v>
      </c>
      <c r="Q679" s="2" t="n">
        <f aca="false">IF(K679=1,((E679-Result!$B$7*D679)/G679)^2,0)</f>
        <v>0</v>
      </c>
    </row>
    <row r="680" customFormat="false" ht="15" hidden="false" customHeight="false" outlineLevel="0" collapsed="false">
      <c r="A680" s="4" t="s">
        <v>37</v>
      </c>
      <c r="B680" s="4" t="s">
        <v>746</v>
      </c>
      <c r="C680" s="4" t="s">
        <v>63</v>
      </c>
      <c r="D680" s="5" t="n">
        <v>3775.0722</v>
      </c>
      <c r="E680" s="5" t="n">
        <v>19.844</v>
      </c>
      <c r="F680" s="5" t="n">
        <v>0.00507818094541219</v>
      </c>
      <c r="G680" s="5" t="n">
        <v>1.2613</v>
      </c>
      <c r="H680" s="2" t="n">
        <f aca="false">D680*F680</f>
        <v>19.1704997135953</v>
      </c>
      <c r="I680" s="2" t="n">
        <f aca="false">IF(G680="","",D680*1000000/Inputs!$B$4^2*Inputs!$B$5/G680)</f>
        <v>15.2095648663368</v>
      </c>
      <c r="J680" s="2" t="n">
        <f aca="false">IF(C680="A",Inputs!$B$7,IF(C680="B",Inputs!$B$8,IF(C680="C",Inputs!$B$9,0)))</f>
        <v>1</v>
      </c>
      <c r="K680" s="2" t="n">
        <f aca="false">IF(AND(E680&lt;&gt;"",G680&lt;&gt;"",J680&gt;0),IF(I680&gt;=Inputs!$B$6,1,0),0)</f>
        <v>1</v>
      </c>
      <c r="L680" s="5" t="n">
        <v>1</v>
      </c>
      <c r="M680" s="5" t="n">
        <v>3775.1617</v>
      </c>
      <c r="N680" s="5" t="n">
        <v>19.171</v>
      </c>
      <c r="O680" s="4" t="s">
        <v>64</v>
      </c>
      <c r="P680" s="2" t="n">
        <f aca="false">IF(K680=1,J680/G680^2,0)</f>
        <v>0.628583835379576</v>
      </c>
      <c r="Q680" s="2" t="n">
        <f aca="false">IF(K680=1,((E680-Result!$B$7*D680)/G680)^2,0)</f>
        <v>0.368882680402464</v>
      </c>
    </row>
    <row r="681" customFormat="false" ht="15" hidden="false" customHeight="false" outlineLevel="0" collapsed="false">
      <c r="A681" s="4" t="s">
        <v>37</v>
      </c>
      <c r="B681" s="4" t="s">
        <v>747</v>
      </c>
      <c r="C681" s="4" t="s">
        <v>63</v>
      </c>
      <c r="D681" s="5" t="n">
        <v>6310.3307</v>
      </c>
      <c r="E681" s="5" t="n">
        <v>32.455</v>
      </c>
      <c r="F681" s="5" t="n">
        <v>0.00507749015016024</v>
      </c>
      <c r="G681" s="5" t="n">
        <v>1.2613</v>
      </c>
      <c r="H681" s="2" t="n">
        <f aca="false">D681*F681</f>
        <v>32.0406419735038</v>
      </c>
      <c r="I681" s="2" t="n">
        <f aca="false">IF(G681="","",D681*1000000/Inputs!$B$4^2*Inputs!$B$5/G681)</f>
        <v>25.4239863570521</v>
      </c>
      <c r="J681" s="2" t="n">
        <f aca="false">IF(C681="A",Inputs!$B$7,IF(C681="B",Inputs!$B$8,IF(C681="C",Inputs!$B$9,0)))</f>
        <v>1</v>
      </c>
      <c r="K681" s="2" t="n">
        <f aca="false">IF(AND(E681&lt;&gt;"",G681&lt;&gt;"",J681&gt;0),IF(I681&gt;=Inputs!$B$6,1,0),0)</f>
        <v>1</v>
      </c>
      <c r="L681" s="5" t="n">
        <v>1</v>
      </c>
      <c r="M681" s="5" t="n">
        <v>6310.5819</v>
      </c>
      <c r="N681" s="5" t="n">
        <v>32.041</v>
      </c>
      <c r="O681" s="4" t="s">
        <v>64</v>
      </c>
      <c r="P681" s="2" t="n">
        <f aca="false">IF(K681=1,J681/G681^2,0)</f>
        <v>0.628583835379576</v>
      </c>
      <c r="Q681" s="2" t="n">
        <f aca="false">IF(K681=1,((E681-Result!$B$7*D681)/G681)^2,0)</f>
        <v>0.200460112825084</v>
      </c>
    </row>
    <row r="682" customFormat="false" ht="15" hidden="false" customHeight="false" outlineLevel="0" collapsed="false">
      <c r="A682" s="4" t="s">
        <v>37</v>
      </c>
      <c r="B682" s="4" t="s">
        <v>748</v>
      </c>
      <c r="C682" s="4" t="s">
        <v>63</v>
      </c>
      <c r="D682" s="5" t="n">
        <v>5448.1397</v>
      </c>
      <c r="E682" s="5" t="n">
        <v>26.624</v>
      </c>
      <c r="F682" s="5" t="n">
        <v>0.0050780935633294</v>
      </c>
      <c r="G682" s="5" t="n">
        <v>1.2613</v>
      </c>
      <c r="H682" s="2" t="n">
        <f aca="false">D682*F682</f>
        <v>27.6661631426894</v>
      </c>
      <c r="I682" s="2" t="n">
        <f aca="false">IF(G682="","",D682*1000000/Inputs!$B$4^2*Inputs!$B$5/G682)</f>
        <v>21.9502647308347</v>
      </c>
      <c r="J682" s="2" t="n">
        <f aca="false">IF(C682="A",Inputs!$B$7,IF(C682="B",Inputs!$B$8,IF(C682="C",Inputs!$B$9,0)))</f>
        <v>1</v>
      </c>
      <c r="K682" s="2" t="n">
        <f aca="false">IF(AND(E682&lt;&gt;"",G682&lt;&gt;"",J682&gt;0),IF(I682&gt;=Inputs!$B$6,1,0),0)</f>
        <v>1</v>
      </c>
      <c r="L682" s="5" t="n">
        <v>1</v>
      </c>
      <c r="M682" s="5" t="n">
        <v>5448.3476</v>
      </c>
      <c r="N682" s="5" t="n">
        <v>27.667</v>
      </c>
      <c r="O682" s="4" t="s">
        <v>64</v>
      </c>
      <c r="P682" s="2" t="n">
        <f aca="false">IF(K682=1,J682/G682^2,0)</f>
        <v>0.628583835379576</v>
      </c>
      <c r="Q682" s="2" t="n">
        <f aca="false">IF(K682=1,((E682-Result!$B$7*D682)/G682)^2,0)</f>
        <v>0.51945405575951</v>
      </c>
    </row>
    <row r="683" customFormat="false" ht="15" hidden="false" customHeight="false" outlineLevel="0" collapsed="false">
      <c r="A683" s="4" t="s">
        <v>37</v>
      </c>
      <c r="B683" s="4" t="s">
        <v>749</v>
      </c>
      <c r="C683" s="4"/>
      <c r="D683" s="5" t="n">
        <v>3472.7321</v>
      </c>
      <c r="E683" s="5"/>
      <c r="F683" s="5" t="n">
        <v>0.00507811567970544</v>
      </c>
      <c r="G683" s="5" t="n">
        <v>1.2613</v>
      </c>
      <c r="H683" s="2" t="n">
        <f aca="false">D683*F683</f>
        <v>17.6349353284264</v>
      </c>
      <c r="I683" s="2" t="n">
        <f aca="false">IF(G683="","",D683*1000000/Inputs!$B$4^2*Inputs!$B$5/G683)</f>
        <v>13.991452703437</v>
      </c>
      <c r="J683" s="2" t="n">
        <f aca="false">IF(C683="A",Inputs!$B$7,IF(C683="B",Inputs!$B$8,IF(C683="C",Inputs!$B$9,0)))</f>
        <v>0</v>
      </c>
      <c r="K683" s="2" t="n">
        <f aca="false">IF(AND(E683&lt;&gt;"",G683&lt;&gt;"",J683&gt;0),IF(I683&gt;=Inputs!$B$6,1,0),0)</f>
        <v>0</v>
      </c>
      <c r="L683" s="5" t="n">
        <v>0</v>
      </c>
      <c r="M683" s="5" t="n">
        <v>3472.7321</v>
      </c>
      <c r="N683" s="5" t="n">
        <v>17.635</v>
      </c>
      <c r="O683" s="4" t="s">
        <v>64</v>
      </c>
      <c r="P683" s="2" t="n">
        <f aca="false">IF(K683=1,J683/G683^2,0)</f>
        <v>0</v>
      </c>
      <c r="Q683" s="2" t="n">
        <f aca="false">IF(K683=1,((E683-Result!$B$7*D683)/G683)^2,0)</f>
        <v>0</v>
      </c>
    </row>
    <row r="684" customFormat="false" ht="15" hidden="false" customHeight="false" outlineLevel="0" collapsed="false">
      <c r="A684" s="4" t="s">
        <v>37</v>
      </c>
      <c r="B684" s="4" t="s">
        <v>750</v>
      </c>
      <c r="C684" s="4" t="s">
        <v>63</v>
      </c>
      <c r="D684" s="5" t="n">
        <v>5197.7034</v>
      </c>
      <c r="E684" s="5" t="n">
        <v>25.875</v>
      </c>
      <c r="F684" s="5" t="n">
        <v>0.00507842758265392</v>
      </c>
      <c r="G684" s="5" t="n">
        <v>1.2613</v>
      </c>
      <c r="H684" s="2" t="n">
        <f aca="false">D684*F684</f>
        <v>26.396160313014</v>
      </c>
      <c r="I684" s="2" t="n">
        <f aca="false">IF(G684="","",D684*1000000/Inputs!$B$4^2*Inputs!$B$5/G684)</f>
        <v>20.9412702141907</v>
      </c>
      <c r="J684" s="2" t="n">
        <f aca="false">IF(C684="A",Inputs!$B$7,IF(C684="B",Inputs!$B$8,IF(C684="C",Inputs!$B$9,0)))</f>
        <v>1</v>
      </c>
      <c r="K684" s="2" t="n">
        <f aca="false">IF(AND(E684&lt;&gt;"",G684&lt;&gt;"",J684&gt;0),IF(I684&gt;=Inputs!$B$6,1,0),0)</f>
        <v>1</v>
      </c>
      <c r="L684" s="5" t="n">
        <v>1</v>
      </c>
      <c r="M684" s="5" t="n">
        <v>5197.9464</v>
      </c>
      <c r="N684" s="5" t="n">
        <v>26.397</v>
      </c>
      <c r="O684" s="4" t="s">
        <v>64</v>
      </c>
      <c r="P684" s="2" t="n">
        <f aca="false">IF(K684=1,J684/G684^2,0)</f>
        <v>0.628583835379576</v>
      </c>
      <c r="Q684" s="2" t="n">
        <f aca="false">IF(K684=1,((E684-Result!$B$7*D684)/G684)^2,0)</f>
        <v>0.0968068095885831</v>
      </c>
    </row>
    <row r="685" customFormat="false" ht="15" hidden="false" customHeight="false" outlineLevel="0" collapsed="false">
      <c r="A685" s="4" t="s">
        <v>37</v>
      </c>
      <c r="B685" s="4" t="s">
        <v>751</v>
      </c>
      <c r="C685" s="4"/>
      <c r="D685" s="5" t="n">
        <v>7173.5619</v>
      </c>
      <c r="E685" s="5"/>
      <c r="F685" s="5" t="n">
        <v>0.00507832644458736</v>
      </c>
      <c r="G685" s="5" t="n">
        <v>1.2613</v>
      </c>
      <c r="H685" s="2" t="n">
        <f aca="false">D685*F685</f>
        <v>36.4296890986543</v>
      </c>
      <c r="I685" s="2" t="n">
        <f aca="false">IF(G685="","",D685*1000000/Inputs!$B$4^2*Inputs!$B$5/G685)</f>
        <v>28.9018988936774</v>
      </c>
      <c r="J685" s="2" t="n">
        <f aca="false">IF(C685="A",Inputs!$B$7,IF(C685="B",Inputs!$B$8,IF(C685="C",Inputs!$B$9,0)))</f>
        <v>0</v>
      </c>
      <c r="K685" s="2" t="n">
        <f aca="false">IF(AND(E685&lt;&gt;"",G685&lt;&gt;"",J685&gt;0),IF(I685&gt;=Inputs!$B$6,1,0),0)</f>
        <v>0</v>
      </c>
      <c r="L685" s="5" t="n">
        <v>0</v>
      </c>
      <c r="M685" s="5" t="n">
        <v>7173.5619</v>
      </c>
      <c r="N685" s="5" t="n">
        <v>36.429</v>
      </c>
      <c r="O685" s="4" t="s">
        <v>64</v>
      </c>
      <c r="P685" s="2" t="n">
        <f aca="false">IF(K685=1,J685/G685^2,0)</f>
        <v>0</v>
      </c>
      <c r="Q685" s="2" t="n">
        <f aca="false">IF(K685=1,((E685-Result!$B$7*D685)/G685)^2,0)</f>
        <v>0</v>
      </c>
    </row>
    <row r="686" customFormat="false" ht="15" hidden="false" customHeight="false" outlineLevel="0" collapsed="false">
      <c r="A686" s="4" t="s">
        <v>37</v>
      </c>
      <c r="B686" s="4" t="s">
        <v>752</v>
      </c>
      <c r="C686" s="4" t="s">
        <v>63</v>
      </c>
      <c r="D686" s="5" t="n">
        <v>5135.1146</v>
      </c>
      <c r="E686" s="5" t="n">
        <v>26.722</v>
      </c>
      <c r="F686" s="5" t="n">
        <v>0.00507704775376302</v>
      </c>
      <c r="G686" s="5" t="n">
        <v>1.2613</v>
      </c>
      <c r="H686" s="2" t="n">
        <f aca="false">D686*F686</f>
        <v>26.0712220452457</v>
      </c>
      <c r="I686" s="2" t="n">
        <f aca="false">IF(G686="","",D686*1000000/Inputs!$B$4^2*Inputs!$B$5/G686)</f>
        <v>20.689103271925</v>
      </c>
      <c r="J686" s="2" t="n">
        <f aca="false">IF(C686="A",Inputs!$B$7,IF(C686="B",Inputs!$B$8,IF(C686="C",Inputs!$B$9,0)))</f>
        <v>1</v>
      </c>
      <c r="K686" s="2" t="n">
        <f aca="false">IF(AND(E686&lt;&gt;"",G686&lt;&gt;"",J686&gt;0),IF(I686&gt;=Inputs!$B$6,1,0),0)</f>
        <v>1</v>
      </c>
      <c r="L686" s="5" t="n">
        <v>1</v>
      </c>
      <c r="M686" s="5" t="n">
        <v>5135.2694</v>
      </c>
      <c r="N686" s="5" t="n">
        <v>26.071</v>
      </c>
      <c r="O686" s="4" t="s">
        <v>64</v>
      </c>
      <c r="P686" s="2" t="n">
        <f aca="false">IF(K686=1,J686/G686^2,0)</f>
        <v>0.628583835379576</v>
      </c>
      <c r="Q686" s="2" t="n">
        <f aca="false">IF(K686=1,((E686-Result!$B$7*D686)/G686)^2,0)</f>
        <v>0.373524579731261</v>
      </c>
    </row>
    <row r="687" customFormat="false" ht="15" hidden="false" customHeight="false" outlineLevel="0" collapsed="false">
      <c r="A687" s="4" t="s">
        <v>37</v>
      </c>
      <c r="B687" s="4" t="s">
        <v>753</v>
      </c>
      <c r="C687" s="4" t="s">
        <v>63</v>
      </c>
      <c r="D687" s="5" t="n">
        <v>4960.1257</v>
      </c>
      <c r="E687" s="5" t="n">
        <v>24.849</v>
      </c>
      <c r="F687" s="5" t="n">
        <v>0.00507704704150451</v>
      </c>
      <c r="G687" s="5" t="n">
        <v>1.2613</v>
      </c>
      <c r="H687" s="2" t="n">
        <f aca="false">D687*F687</f>
        <v>25.1827915106755</v>
      </c>
      <c r="I687" s="2" t="n">
        <f aca="false">IF(G687="","",D687*1000000/Inputs!$B$4^2*Inputs!$B$5/G687)</f>
        <v>19.9840823122096</v>
      </c>
      <c r="J687" s="2" t="n">
        <f aca="false">IF(C687="A",Inputs!$B$7,IF(C687="B",Inputs!$B$8,IF(C687="C",Inputs!$B$9,0)))</f>
        <v>1</v>
      </c>
      <c r="K687" s="2" t="n">
        <f aca="false">IF(AND(E687&lt;&gt;"",G687&lt;&gt;"",J687&gt;0),IF(I687&gt;=Inputs!$B$6,1,0),0)</f>
        <v>1</v>
      </c>
      <c r="L687" s="5" t="n">
        <v>1</v>
      </c>
      <c r="M687" s="5" t="n">
        <v>4960.3204</v>
      </c>
      <c r="N687" s="5" t="n">
        <v>25.183</v>
      </c>
      <c r="O687" s="4" t="s">
        <v>64</v>
      </c>
      <c r="P687" s="2" t="n">
        <f aca="false">IF(K687=1,J687/G687^2,0)</f>
        <v>0.628583835379576</v>
      </c>
      <c r="Q687" s="2" t="n">
        <f aca="false">IF(K687=1,((E687-Result!$B$7*D687)/G687)^2,0)</f>
        <v>0.0298182434134221</v>
      </c>
    </row>
    <row r="688" customFormat="false" ht="15" hidden="false" customHeight="false" outlineLevel="0" collapsed="false">
      <c r="A688" s="4" t="s">
        <v>37</v>
      </c>
      <c r="B688" s="4" t="s">
        <v>754</v>
      </c>
      <c r="C688" s="4" t="s">
        <v>63</v>
      </c>
      <c r="D688" s="5" t="n">
        <v>7604.9429</v>
      </c>
      <c r="E688" s="5" t="n">
        <v>37.297</v>
      </c>
      <c r="F688" s="5" t="n">
        <v>0.00507819052505717</v>
      </c>
      <c r="G688" s="5" t="n">
        <v>1.2613</v>
      </c>
      <c r="H688" s="2" t="n">
        <f aca="false">D688*F688</f>
        <v>38.6193489783808</v>
      </c>
      <c r="I688" s="2" t="n">
        <f aca="false">IF(G688="","",D688*1000000/Inputs!$B$4^2*Inputs!$B$5/G688)</f>
        <v>30.6399099710828</v>
      </c>
      <c r="J688" s="2" t="n">
        <f aca="false">IF(C688="A",Inputs!$B$7,IF(C688="B",Inputs!$B$8,IF(C688="C",Inputs!$B$9,0)))</f>
        <v>1</v>
      </c>
      <c r="K688" s="2" t="n">
        <f aca="false">IF(AND(E688&lt;&gt;"",G688&lt;&gt;"",J688&gt;0),IF(I688&gt;=Inputs!$B$6,1,0),0)</f>
        <v>1</v>
      </c>
      <c r="L688" s="5" t="n">
        <v>1</v>
      </c>
      <c r="M688" s="5" t="n">
        <v>7605.4509</v>
      </c>
      <c r="N688" s="5" t="n">
        <v>38.621</v>
      </c>
      <c r="O688" s="4" t="s">
        <v>64</v>
      </c>
      <c r="P688" s="2" t="n">
        <f aca="false">IF(K688=1,J688/G688^2,0)</f>
        <v>0.628583835379576</v>
      </c>
      <c r="Q688" s="2" t="n">
        <f aca="false">IF(K688=1,((E688-Result!$B$7*D688)/G688)^2,0)</f>
        <v>0.810919354352966</v>
      </c>
    </row>
    <row r="689" customFormat="false" ht="15" hidden="false" customHeight="false" outlineLevel="0" collapsed="false">
      <c r="A689" s="4" t="s">
        <v>37</v>
      </c>
      <c r="B689" s="4" t="s">
        <v>755</v>
      </c>
      <c r="C689" s="4" t="s">
        <v>63</v>
      </c>
      <c r="D689" s="5" t="n">
        <v>10496.5472</v>
      </c>
      <c r="E689" s="5" t="n">
        <v>53.494</v>
      </c>
      <c r="F689" s="5" t="n">
        <v>0.00507758679049664</v>
      </c>
      <c r="G689" s="5" t="n">
        <v>1.2613</v>
      </c>
      <c r="H689" s="2" t="n">
        <f aca="false">D689*F689</f>
        <v>53.2971294085445</v>
      </c>
      <c r="I689" s="2" t="n">
        <f aca="false">IF(G689="","",D689*1000000/Inputs!$B$4^2*Inputs!$B$5/G689)</f>
        <v>42.2900297141247</v>
      </c>
      <c r="J689" s="2" t="n">
        <f aca="false">IF(C689="A",Inputs!$B$7,IF(C689="B",Inputs!$B$8,IF(C689="C",Inputs!$B$9,0)))</f>
        <v>1</v>
      </c>
      <c r="K689" s="2" t="n">
        <f aca="false">IF(AND(E689&lt;&gt;"",G689&lt;&gt;"",J689&gt;0),IF(I689&gt;=Inputs!$B$6,1,0),0)</f>
        <v>1</v>
      </c>
      <c r="L689" s="5" t="n">
        <v>1</v>
      </c>
      <c r="M689" s="5" t="n">
        <v>10497.2911</v>
      </c>
      <c r="N689" s="5" t="n">
        <v>53.299</v>
      </c>
      <c r="O689" s="4" t="s">
        <v>64</v>
      </c>
      <c r="P689" s="2" t="n">
        <f aca="false">IF(K689=1,J689/G689^2,0)</f>
        <v>0.628583835379576</v>
      </c>
      <c r="Q689" s="2" t="n">
        <f aca="false">IF(K689=1,((E689-Result!$B$7*D689)/G689)^2,0)</f>
        <v>0.126155926799723</v>
      </c>
    </row>
    <row r="690" customFormat="false" ht="15" hidden="false" customHeight="false" outlineLevel="0" collapsed="false">
      <c r="A690" s="4" t="s">
        <v>37</v>
      </c>
      <c r="B690" s="4" t="s">
        <v>756</v>
      </c>
      <c r="C690" s="4" t="s">
        <v>63</v>
      </c>
      <c r="D690" s="5" t="n">
        <v>8248.9411</v>
      </c>
      <c r="E690" s="5" t="n">
        <v>41.375</v>
      </c>
      <c r="F690" s="5" t="n">
        <v>0.00507752745471056</v>
      </c>
      <c r="G690" s="5" t="n">
        <v>1.2613</v>
      </c>
      <c r="H690" s="2" t="n">
        <f aca="false">D690*F690</f>
        <v>41.8842249075403</v>
      </c>
      <c r="I690" s="2" t="n">
        <f aca="false">IF(G690="","",D690*1000000/Inputs!$B$4^2*Inputs!$B$5/G690)</f>
        <v>33.2345444251481</v>
      </c>
      <c r="J690" s="2" t="n">
        <f aca="false">IF(C690="A",Inputs!$B$7,IF(C690="B",Inputs!$B$8,IF(C690="C",Inputs!$B$9,0)))</f>
        <v>1</v>
      </c>
      <c r="K690" s="2" t="n">
        <f aca="false">IF(AND(E690&lt;&gt;"",G690&lt;&gt;"",J690&gt;0),IF(I690&gt;=Inputs!$B$6,1,0),0)</f>
        <v>1</v>
      </c>
      <c r="L690" s="5" t="n">
        <v>1</v>
      </c>
      <c r="M690" s="5" t="n">
        <v>8249.3858</v>
      </c>
      <c r="N690" s="5" t="n">
        <v>41.885</v>
      </c>
      <c r="O690" s="4" t="s">
        <v>64</v>
      </c>
      <c r="P690" s="2" t="n">
        <f aca="false">IF(K690=1,J690/G690^2,0)</f>
        <v>0.628583835379576</v>
      </c>
      <c r="Q690" s="2" t="n">
        <f aca="false">IF(K690=1,((E690-Result!$B$7*D690)/G690)^2,0)</f>
        <v>0.061331534408036</v>
      </c>
    </row>
    <row r="691" customFormat="false" ht="15" hidden="false" customHeight="false" outlineLevel="0" collapsed="false">
      <c r="A691" s="4" t="s">
        <v>37</v>
      </c>
      <c r="B691" s="4" t="s">
        <v>757</v>
      </c>
      <c r="C691" s="4" t="s">
        <v>63</v>
      </c>
      <c r="D691" s="5" t="n">
        <v>6606.3593</v>
      </c>
      <c r="E691" s="5" t="n">
        <v>34.396</v>
      </c>
      <c r="F691" s="5" t="n">
        <v>0.00507814622935367</v>
      </c>
      <c r="G691" s="5" t="n">
        <v>1.2613</v>
      </c>
      <c r="H691" s="2" t="n">
        <f aca="false">D691*F691</f>
        <v>33.5480585690506</v>
      </c>
      <c r="I691" s="2" t="n">
        <f aca="false">IF(G691="","",D691*1000000/Inputs!$B$4^2*Inputs!$B$5/G691)</f>
        <v>26.6166698225473</v>
      </c>
      <c r="J691" s="2" t="n">
        <f aca="false">IF(C691="A",Inputs!$B$7,IF(C691="B",Inputs!$B$8,IF(C691="C",Inputs!$B$9,0)))</f>
        <v>1</v>
      </c>
      <c r="K691" s="2" t="n">
        <f aca="false">IF(AND(E691&lt;&gt;"",G691&lt;&gt;"",J691&gt;0),IF(I691&gt;=Inputs!$B$6,1,0),0)</f>
        <v>1</v>
      </c>
      <c r="L691" s="5" t="n">
        <v>1</v>
      </c>
      <c r="M691" s="5" t="n">
        <v>6606.6487</v>
      </c>
      <c r="N691" s="5" t="n">
        <v>33.548</v>
      </c>
      <c r="O691" s="4" t="s">
        <v>64</v>
      </c>
      <c r="P691" s="2" t="n">
        <f aca="false">IF(K691=1,J691/G691^2,0)</f>
        <v>0.628583835379576</v>
      </c>
      <c r="Q691" s="2" t="n">
        <f aca="false">IF(K691=1,((E691-Result!$B$7*D691)/G691)^2,0)</f>
        <v>0.640825279672999</v>
      </c>
    </row>
    <row r="692" customFormat="false" ht="15" hidden="false" customHeight="false" outlineLevel="0" collapsed="false">
      <c r="A692" s="4" t="s">
        <v>37</v>
      </c>
      <c r="B692" s="4" t="s">
        <v>758</v>
      </c>
      <c r="C692" s="4" t="s">
        <v>63</v>
      </c>
      <c r="D692" s="5" t="n">
        <v>8505.963</v>
      </c>
      <c r="E692" s="5" t="n">
        <v>41.638</v>
      </c>
      <c r="F692" s="5" t="n">
        <v>0.00507810766052287</v>
      </c>
      <c r="G692" s="5" t="n">
        <v>1.2613</v>
      </c>
      <c r="H692" s="2" t="n">
        <f aca="false">D692*F692</f>
        <v>43.1941958704241</v>
      </c>
      <c r="I692" s="2" t="n">
        <f aca="false">IF(G692="","",D692*1000000/Inputs!$B$4^2*Inputs!$B$5/G692)</f>
        <v>34.2700719735005</v>
      </c>
      <c r="J692" s="2" t="n">
        <f aca="false">IF(C692="A",Inputs!$B$7,IF(C692="B",Inputs!$B$8,IF(C692="C",Inputs!$B$9,0)))</f>
        <v>1</v>
      </c>
      <c r="K692" s="2" t="n">
        <f aca="false">IF(AND(E692&lt;&gt;"",G692&lt;&gt;"",J692&gt;0),IF(I692&gt;=Inputs!$B$6,1,0),0)</f>
        <v>1</v>
      </c>
      <c r="L692" s="5" t="n">
        <v>1</v>
      </c>
      <c r="M692" s="5" t="n">
        <v>8506.513</v>
      </c>
      <c r="N692" s="5" t="n">
        <v>43.195</v>
      </c>
      <c r="O692" s="4" t="s">
        <v>64</v>
      </c>
      <c r="P692" s="2" t="n">
        <f aca="false">IF(K692=1,J692/G692^2,0)</f>
        <v>0.628583835379576</v>
      </c>
      <c r="Q692" s="2" t="n">
        <f aca="false">IF(K692=1,((E692-Result!$B$7*D692)/G692)^2,0)</f>
        <v>1.14265206894275</v>
      </c>
    </row>
    <row r="693" customFormat="false" ht="15" hidden="false" customHeight="false" outlineLevel="0" collapsed="false">
      <c r="A693" s="4" t="s">
        <v>37</v>
      </c>
      <c r="B693" s="4" t="s">
        <v>759</v>
      </c>
      <c r="C693" s="4" t="s">
        <v>63</v>
      </c>
      <c r="D693" s="5" t="n">
        <v>7189.947</v>
      </c>
      <c r="E693" s="5" t="n">
        <v>36.726</v>
      </c>
      <c r="F693" s="5" t="n">
        <v>0.0050769413204902</v>
      </c>
      <c r="G693" s="5" t="n">
        <v>1.2613</v>
      </c>
      <c r="H693" s="2" t="n">
        <f aca="false">D693*F693</f>
        <v>36.5029390164346</v>
      </c>
      <c r="I693" s="2" t="n">
        <f aca="false">IF(G693="","",D693*1000000/Inputs!$B$4^2*Inputs!$B$5/G693)</f>
        <v>28.9679135890497</v>
      </c>
      <c r="J693" s="2" t="n">
        <f aca="false">IF(C693="A",Inputs!$B$7,IF(C693="B",Inputs!$B$8,IF(C693="C",Inputs!$B$9,0)))</f>
        <v>1</v>
      </c>
      <c r="K693" s="2" t="n">
        <f aca="false">IF(AND(E693&lt;&gt;"",G693&lt;&gt;"",J693&gt;0),IF(I693&gt;=Inputs!$B$6,1,0),0)</f>
        <v>1</v>
      </c>
      <c r="L693" s="5" t="n">
        <v>1</v>
      </c>
      <c r="M693" s="5" t="n">
        <v>7190.3295</v>
      </c>
      <c r="N693" s="5" t="n">
        <v>36.504</v>
      </c>
      <c r="O693" s="4" t="s">
        <v>64</v>
      </c>
      <c r="P693" s="2" t="n">
        <f aca="false">IF(K693=1,J693/G693^2,0)</f>
        <v>0.628583835379576</v>
      </c>
      <c r="Q693" s="2" t="n">
        <f aca="false">IF(K693=1,((E693-Result!$B$7*D693)/G693)^2,0)</f>
        <v>0.0958210718934191</v>
      </c>
    </row>
    <row r="694" customFormat="false" ht="15" hidden="false" customHeight="false" outlineLevel="0" collapsed="false">
      <c r="A694" s="4" t="s">
        <v>37</v>
      </c>
      <c r="B694" s="4" t="s">
        <v>760</v>
      </c>
      <c r="C694" s="4" t="s">
        <v>63</v>
      </c>
      <c r="D694" s="5" t="n">
        <v>8802.364</v>
      </c>
      <c r="E694" s="5" t="n">
        <v>45.933</v>
      </c>
      <c r="F694" s="5" t="n">
        <v>0.00507739437274093</v>
      </c>
      <c r="G694" s="5" t="n">
        <v>1.2613</v>
      </c>
      <c r="H694" s="2" t="n">
        <f aca="false">D694*F694</f>
        <v>44.6930734404173</v>
      </c>
      <c r="I694" s="2" t="n">
        <f aca="false">IF(G694="","",D694*1000000/Inputs!$B$4^2*Inputs!$B$5/G694)</f>
        <v>35.464255818765</v>
      </c>
      <c r="J694" s="2" t="n">
        <f aca="false">IF(C694="A",Inputs!$B$7,IF(C694="B",Inputs!$B$8,IF(C694="C",Inputs!$B$9,0)))</f>
        <v>1</v>
      </c>
      <c r="K694" s="2" t="n">
        <f aca="false">IF(AND(E694&lt;&gt;"",G694&lt;&gt;"",J694&gt;0),IF(I694&gt;=Inputs!$B$6,1,0),0)</f>
        <v>1</v>
      </c>
      <c r="L694" s="5" t="n">
        <v>0</v>
      </c>
      <c r="M694" s="5" t="n">
        <v>8803.0605</v>
      </c>
      <c r="N694" s="5" t="n">
        <v>44.695</v>
      </c>
      <c r="O694" s="4" t="s">
        <v>64</v>
      </c>
      <c r="P694" s="2" t="n">
        <f aca="false">IF(K694=1,J694/G694^2,0)</f>
        <v>0.628583835379576</v>
      </c>
      <c r="Q694" s="2" t="n">
        <f aca="false">IF(K694=1,((E694-Result!$B$7*D694)/G694)^2,0)</f>
        <v>1.31945461372085</v>
      </c>
    </row>
    <row r="695" customFormat="false" ht="15" hidden="false" customHeight="false" outlineLevel="0" collapsed="false">
      <c r="A695" s="4" t="s">
        <v>37</v>
      </c>
      <c r="B695" s="4" t="s">
        <v>761</v>
      </c>
      <c r="C695" s="4" t="s">
        <v>63</v>
      </c>
      <c r="D695" s="5" t="n">
        <v>14525.7559</v>
      </c>
      <c r="E695" s="5" t="n">
        <v>75.332</v>
      </c>
      <c r="F695" s="5" t="n">
        <v>0.00507740120946122</v>
      </c>
      <c r="G695" s="5" t="n">
        <v>1.2613</v>
      </c>
      <c r="H695" s="2" t="n">
        <f aca="false">D695*F695</f>
        <v>73.7530905749985</v>
      </c>
      <c r="I695" s="2" t="n">
        <f aca="false">IF(G695="","",D695*1000000/Inputs!$B$4^2*Inputs!$B$5/G695)</f>
        <v>58.5234970058651</v>
      </c>
      <c r="J695" s="2" t="n">
        <f aca="false">IF(C695="A",Inputs!$B$7,IF(C695="B",Inputs!$B$8,IF(C695="C",Inputs!$B$9,0)))</f>
        <v>1</v>
      </c>
      <c r="K695" s="2" t="n">
        <f aca="false">IF(AND(E695&lt;&gt;"",G695&lt;&gt;"",J695&gt;0),IF(I695&gt;=Inputs!$B$6,1,0),0)</f>
        <v>1</v>
      </c>
      <c r="L695" s="5" t="n">
        <v>1</v>
      </c>
      <c r="M695" s="5" t="n">
        <v>14527.3834</v>
      </c>
      <c r="N695" s="5" t="n">
        <v>73.759</v>
      </c>
      <c r="O695" s="4" t="s">
        <v>64</v>
      </c>
      <c r="P695" s="2" t="n">
        <f aca="false">IF(K695=1,J695/G695^2,0)</f>
        <v>0.628583835379576</v>
      </c>
      <c r="Q695" s="2" t="n">
        <f aca="false">IF(K695=1,((E695-Result!$B$7*D695)/G695)^2,0)</f>
        <v>2.32623198647964</v>
      </c>
    </row>
    <row r="696" customFormat="false" ht="15" hidden="false" customHeight="false" outlineLevel="0" collapsed="false">
      <c r="A696" s="4" t="s">
        <v>37</v>
      </c>
      <c r="B696" s="4" t="s">
        <v>762</v>
      </c>
      <c r="C696" s="4" t="s">
        <v>63</v>
      </c>
      <c r="D696" s="5" t="n">
        <v>8610.4258</v>
      </c>
      <c r="E696" s="5" t="n">
        <v>42.957</v>
      </c>
      <c r="F696" s="5" t="n">
        <v>0.00507685351541517</v>
      </c>
      <c r="G696" s="5" t="n">
        <v>1.2613</v>
      </c>
      <c r="H696" s="2" t="n">
        <f aca="false">D696*F696</f>
        <v>43.7138704919515</v>
      </c>
      <c r="I696" s="2" t="n">
        <f aca="false">IF(G696="","",D696*1000000/Inputs!$B$4^2*Inputs!$B$5/G696)</f>
        <v>34.6909470319217</v>
      </c>
      <c r="J696" s="2" t="n">
        <f aca="false">IF(C696="A",Inputs!$B$7,IF(C696="B",Inputs!$B$8,IF(C696="C",Inputs!$B$9,0)))</f>
        <v>1</v>
      </c>
      <c r="K696" s="2" t="n">
        <f aca="false">IF(AND(E696&lt;&gt;"",G696&lt;&gt;"",J696&gt;0),IF(I696&gt;=Inputs!$B$6,1,0),0)</f>
        <v>1</v>
      </c>
      <c r="L696" s="5" t="n">
        <v>1</v>
      </c>
      <c r="M696" s="5" t="n">
        <v>8611.2517</v>
      </c>
      <c r="N696" s="5" t="n">
        <v>43.716</v>
      </c>
      <c r="O696" s="4" t="s">
        <v>411</v>
      </c>
      <c r="P696" s="2" t="n">
        <f aca="false">IF(K696=1,J696/G696^2,0)</f>
        <v>0.628583835379576</v>
      </c>
      <c r="Q696" s="2" t="n">
        <f aca="false">IF(K696=1,((E696-Result!$B$7*D696)/G696)^2,0)</f>
        <v>0.195147185045604</v>
      </c>
    </row>
    <row r="697" customFormat="false" ht="15" hidden="false" customHeight="false" outlineLevel="0" collapsed="false">
      <c r="A697" s="4" t="s">
        <v>37</v>
      </c>
      <c r="B697" s="4" t="s">
        <v>763</v>
      </c>
      <c r="C697" s="4" t="s">
        <v>63</v>
      </c>
      <c r="D697" s="5" t="n">
        <v>14334.1632</v>
      </c>
      <c r="E697" s="5" t="n">
        <v>72.356</v>
      </c>
      <c r="F697" s="5" t="n">
        <v>0.00507707396598909</v>
      </c>
      <c r="G697" s="5" t="n">
        <v>1.2613</v>
      </c>
      <c r="H697" s="2" t="n">
        <f aca="false">D697*F697</f>
        <v>72.7756068069589</v>
      </c>
      <c r="I697" s="2" t="n">
        <f aca="false">IF(G697="","",D697*1000000/Inputs!$B$4^2*Inputs!$B$5/G697)</f>
        <v>57.7515802201234</v>
      </c>
      <c r="J697" s="2" t="n">
        <f aca="false">IF(C697="A",Inputs!$B$7,IF(C697="B",Inputs!$B$8,IF(C697="C",Inputs!$B$9,0)))</f>
        <v>1</v>
      </c>
      <c r="K697" s="2" t="n">
        <f aca="false">IF(AND(E697&lt;&gt;"",G697&lt;&gt;"",J697&gt;0),IF(I697&gt;=Inputs!$B$6,1,0),0)</f>
        <v>1</v>
      </c>
      <c r="L697" s="5" t="n">
        <v>0</v>
      </c>
      <c r="M697" s="5" t="n">
        <v>14335.5745</v>
      </c>
      <c r="N697" s="5" t="n">
        <v>72.78</v>
      </c>
      <c r="O697" s="4" t="s">
        <v>64</v>
      </c>
      <c r="P697" s="2" t="n">
        <f aca="false">IF(K697=1,J697/G697^2,0)</f>
        <v>0.628583835379576</v>
      </c>
      <c r="Q697" s="2" t="n">
        <f aca="false">IF(K697=1,((E697-Result!$B$7*D697)/G697)^2,0)</f>
        <v>0.00443757702084953</v>
      </c>
    </row>
    <row r="698" customFormat="false" ht="15" hidden="false" customHeight="false" outlineLevel="0" collapsed="false">
      <c r="A698" s="4" t="s">
        <v>37</v>
      </c>
      <c r="B698" s="4" t="s">
        <v>764</v>
      </c>
      <c r="C698" s="4"/>
      <c r="D698" s="5" t="n">
        <v>23709.7359</v>
      </c>
      <c r="E698" s="5"/>
      <c r="F698" s="5" t="n">
        <v>0.00507638842705519</v>
      </c>
      <c r="G698" s="5" t="n">
        <v>1.2613</v>
      </c>
      <c r="H698" s="2" t="n">
        <f aca="false">D698*F698</f>
        <v>120.359828931295</v>
      </c>
      <c r="I698" s="2" t="n">
        <f aca="false">IF(G698="","",D698*1000000/Inputs!$B$4^2*Inputs!$B$5/G698)</f>
        <v>95.5252633670859</v>
      </c>
      <c r="J698" s="2" t="n">
        <f aca="false">IF(C698="A",Inputs!$B$7,IF(C698="B",Inputs!$B$8,IF(C698="C",Inputs!$B$9,0)))</f>
        <v>0</v>
      </c>
      <c r="K698" s="2" t="n">
        <f aca="false">IF(AND(E698&lt;&gt;"",G698&lt;&gt;"",J698&gt;0),IF(I698&gt;=Inputs!$B$6,1,0),0)</f>
        <v>0</v>
      </c>
      <c r="L698" s="5" t="n">
        <v>0</v>
      </c>
      <c r="M698" s="5" t="n">
        <v>23709.7359</v>
      </c>
      <c r="N698" s="5" t="n">
        <v>120.355</v>
      </c>
      <c r="O698" s="4" t="s">
        <v>64</v>
      </c>
      <c r="P698" s="2" t="n">
        <f aca="false">IF(K698=1,J698/G698^2,0)</f>
        <v>0</v>
      </c>
      <c r="Q698" s="2" t="n">
        <f aca="false">IF(K698=1,((E698-Result!$B$7*D698)/G698)^2,0)</f>
        <v>0</v>
      </c>
    </row>
    <row r="699" customFormat="false" ht="15" hidden="false" customHeight="false" outlineLevel="0" collapsed="false">
      <c r="A699" s="4" t="s">
        <v>37</v>
      </c>
      <c r="B699" s="4" t="s">
        <v>765</v>
      </c>
      <c r="C699" s="4"/>
      <c r="D699" s="5" t="n">
        <v>2882.0807</v>
      </c>
      <c r="E699" s="5"/>
      <c r="F699" s="5" t="n">
        <v>0.00507638155072928</v>
      </c>
      <c r="G699" s="5" t="n">
        <v>1.2613</v>
      </c>
      <c r="H699" s="2" t="n">
        <f aca="false">D699*F699</f>
        <v>14.6305412931929</v>
      </c>
      <c r="I699" s="2" t="n">
        <f aca="false">IF(G699="","",D699*1000000/Inputs!$B$4^2*Inputs!$B$5/G699)</f>
        <v>11.6117496657858</v>
      </c>
      <c r="J699" s="2" t="n">
        <f aca="false">IF(C699="A",Inputs!$B$7,IF(C699="B",Inputs!$B$8,IF(C699="C",Inputs!$B$9,0)))</f>
        <v>0</v>
      </c>
      <c r="K699" s="2" t="n">
        <f aca="false">IF(AND(E699&lt;&gt;"",G699&lt;&gt;"",J699&gt;0),IF(I699&gt;=Inputs!$B$6,1,0),0)</f>
        <v>0</v>
      </c>
      <c r="L699" s="5" t="n">
        <v>0</v>
      </c>
      <c r="M699" s="5" t="n">
        <v>2882.0807</v>
      </c>
      <c r="N699" s="5" t="n">
        <v>14.63</v>
      </c>
      <c r="O699" s="4" t="s">
        <v>64</v>
      </c>
      <c r="P699" s="2" t="n">
        <f aca="false">IF(K699=1,J699/G699^2,0)</f>
        <v>0</v>
      </c>
      <c r="Q699" s="2" t="n">
        <f aca="false">IF(K699=1,((E699-Result!$B$7*D699)/G699)^2,0)</f>
        <v>0</v>
      </c>
    </row>
    <row r="700" customFormat="false" ht="15" hidden="false" customHeight="false" outlineLevel="0" collapsed="false">
      <c r="A700" s="4" t="s">
        <v>37</v>
      </c>
      <c r="B700" s="4" t="s">
        <v>766</v>
      </c>
      <c r="C700" s="4" t="s">
        <v>63</v>
      </c>
      <c r="D700" s="5" t="n">
        <v>2422.445</v>
      </c>
      <c r="E700" s="5" t="n">
        <v>13.641</v>
      </c>
      <c r="F700" s="5" t="n">
        <v>0.00507823668839664</v>
      </c>
      <c r="G700" s="5" t="n">
        <v>1.2613</v>
      </c>
      <c r="H700" s="2" t="n">
        <f aca="false">D700*F700</f>
        <v>12.301749074623</v>
      </c>
      <c r="I700" s="2" t="n">
        <f aca="false">IF(G700="","",D700*1000000/Inputs!$B$4^2*Inputs!$B$5/G700)</f>
        <v>9.75990190667963</v>
      </c>
      <c r="J700" s="2" t="n">
        <f aca="false">IF(C700="A",Inputs!$B$7,IF(C700="B",Inputs!$B$8,IF(C700="C",Inputs!$B$9,0)))</f>
        <v>1</v>
      </c>
      <c r="K700" s="2" t="n">
        <f aca="false">IF(AND(E700&lt;&gt;"",G700&lt;&gt;"",J700&gt;0),IF(I700&gt;=Inputs!$B$6,1,0),0)</f>
        <v>1</v>
      </c>
      <c r="L700" s="5" t="n">
        <v>1</v>
      </c>
      <c r="M700" s="5" t="n">
        <v>2422.5099</v>
      </c>
      <c r="N700" s="5" t="n">
        <v>12.301</v>
      </c>
      <c r="O700" s="4" t="s">
        <v>64</v>
      </c>
      <c r="P700" s="2" t="n">
        <f aca="false">IF(K700=1,J700/G700^2,0)</f>
        <v>0.628583835379576</v>
      </c>
      <c r="Q700" s="2" t="n">
        <f aca="false">IF(K700=1,((E700-Result!$B$7*D700)/G700)^2,0)</f>
        <v>1.22987937202551</v>
      </c>
    </row>
    <row r="701" customFormat="false" ht="15" hidden="false" customHeight="false" outlineLevel="0" collapsed="false">
      <c r="A701" s="4" t="s">
        <v>37</v>
      </c>
      <c r="B701" s="4" t="s">
        <v>767</v>
      </c>
      <c r="C701" s="4" t="s">
        <v>63</v>
      </c>
      <c r="D701" s="5" t="n">
        <v>1784.939</v>
      </c>
      <c r="E701" s="5" t="n">
        <v>9.656</v>
      </c>
      <c r="F701" s="5" t="n">
        <v>0.0050782203863658</v>
      </c>
      <c r="G701" s="5" t="n">
        <v>1.2613</v>
      </c>
      <c r="H701" s="2" t="n">
        <f aca="false">D701*F701</f>
        <v>9.06431361821938</v>
      </c>
      <c r="I701" s="2" t="n">
        <f aca="false">IF(G701="","",D701*1000000/Inputs!$B$4^2*Inputs!$B$5/G701)</f>
        <v>7.19142418069629</v>
      </c>
      <c r="J701" s="2" t="n">
        <f aca="false">IF(C701="A",Inputs!$B$7,IF(C701="B",Inputs!$B$8,IF(C701="C",Inputs!$B$9,0)))</f>
        <v>1</v>
      </c>
      <c r="K701" s="2" t="n">
        <f aca="false">IF(AND(E701&lt;&gt;"",G701&lt;&gt;"",J701&gt;0),IF(I701&gt;=Inputs!$B$6,1,0),0)</f>
        <v>1</v>
      </c>
      <c r="L701" s="5" t="n">
        <v>0</v>
      </c>
      <c r="M701" s="5" t="n">
        <v>1784.9605</v>
      </c>
      <c r="N701" s="5" t="n">
        <v>9.064</v>
      </c>
      <c r="O701" s="4" t="s">
        <v>64</v>
      </c>
      <c r="P701" s="2" t="n">
        <f aca="false">IF(K701=1,J701/G701^2,0)</f>
        <v>0.628583835379576</v>
      </c>
      <c r="Q701" s="2" t="n">
        <f aca="false">IF(K701=1,((E701-Result!$B$7*D701)/G701)^2,0)</f>
        <v>0.253876706577387</v>
      </c>
    </row>
    <row r="702" customFormat="false" ht="15" hidden="false" customHeight="false" outlineLevel="0" collapsed="false">
      <c r="A702" s="4" t="s">
        <v>37</v>
      </c>
      <c r="B702" s="4" t="s">
        <v>768</v>
      </c>
      <c r="C702" s="4" t="s">
        <v>63</v>
      </c>
      <c r="D702" s="5" t="n">
        <v>1839.2641</v>
      </c>
      <c r="E702" s="5" t="n">
        <v>8.591</v>
      </c>
      <c r="F702" s="5" t="n">
        <v>0.00507852409558714</v>
      </c>
      <c r="G702" s="5" t="n">
        <v>1.2613</v>
      </c>
      <c r="H702" s="2" t="n">
        <f aca="false">D702*F702</f>
        <v>9.34074704999839</v>
      </c>
      <c r="I702" s="2" t="n">
        <f aca="false">IF(G702="","",D702*1000000/Inputs!$B$4^2*Inputs!$B$5/G702)</f>
        <v>7.41029711571466</v>
      </c>
      <c r="J702" s="2" t="n">
        <f aca="false">IF(C702="A",Inputs!$B$7,IF(C702="B",Inputs!$B$8,IF(C702="C",Inputs!$B$9,0)))</f>
        <v>1</v>
      </c>
      <c r="K702" s="2" t="n">
        <f aca="false">IF(AND(E702&lt;&gt;"",G702&lt;&gt;"",J702&gt;0),IF(I702&gt;=Inputs!$B$6,1,0),0)</f>
        <v>1</v>
      </c>
      <c r="L702" s="5" t="n">
        <v>1</v>
      </c>
      <c r="M702" s="5" t="n">
        <v>1839.3061</v>
      </c>
      <c r="N702" s="5" t="n">
        <v>9.34</v>
      </c>
      <c r="O702" s="4" t="s">
        <v>64</v>
      </c>
      <c r="P702" s="2" t="n">
        <f aca="false">IF(K702=1,J702/G702^2,0)</f>
        <v>0.628583835379576</v>
      </c>
      <c r="Q702" s="2" t="n">
        <f aca="false">IF(K702=1,((E702-Result!$B$7*D702)/G702)^2,0)</f>
        <v>0.311553762057461</v>
      </c>
    </row>
    <row r="703" customFormat="false" ht="15" hidden="false" customHeight="false" outlineLevel="0" collapsed="false">
      <c r="A703" s="4" t="s">
        <v>37</v>
      </c>
      <c r="B703" s="4" t="s">
        <v>769</v>
      </c>
      <c r="C703" s="4" t="s">
        <v>63</v>
      </c>
      <c r="D703" s="5" t="n">
        <v>1764.5607</v>
      </c>
      <c r="E703" s="5" t="n">
        <v>8.51</v>
      </c>
      <c r="F703" s="5" t="n">
        <v>0.00507765844507751</v>
      </c>
      <c r="G703" s="5" t="n">
        <v>1.2613</v>
      </c>
      <c r="H703" s="2" t="n">
        <f aca="false">D703*F703</f>
        <v>8.95983654020688</v>
      </c>
      <c r="I703" s="2" t="n">
        <f aca="false">IF(G703="","",D703*1000000/Inputs!$B$4^2*Inputs!$B$5/G703)</f>
        <v>7.10932109516705</v>
      </c>
      <c r="J703" s="2" t="n">
        <f aca="false">IF(C703="A",Inputs!$B$7,IF(C703="B",Inputs!$B$8,IF(C703="C",Inputs!$B$9,0)))</f>
        <v>1</v>
      </c>
      <c r="K703" s="2" t="n">
        <f aca="false">IF(AND(E703&lt;&gt;"",G703&lt;&gt;"",J703&gt;0),IF(I703&gt;=Inputs!$B$6,1,0),0)</f>
        <v>1</v>
      </c>
      <c r="L703" s="5" t="n">
        <v>0</v>
      </c>
      <c r="M703" s="5" t="n">
        <v>1764.5872</v>
      </c>
      <c r="N703" s="5" t="n">
        <v>8.96</v>
      </c>
      <c r="O703" s="4" t="s">
        <v>64</v>
      </c>
      <c r="P703" s="2" t="n">
        <f aca="false">IF(K703=1,J703/G703^2,0)</f>
        <v>0.628583835379576</v>
      </c>
      <c r="Q703" s="2" t="n">
        <f aca="false">IF(K703=1,((E703-Result!$B$7*D703)/G703)^2,0)</f>
        <v>0.104377237506131</v>
      </c>
    </row>
    <row r="704" customFormat="false" ht="15" hidden="false" customHeight="false" outlineLevel="0" collapsed="false">
      <c r="A704" s="4" t="s">
        <v>37</v>
      </c>
      <c r="B704" s="4" t="s">
        <v>770</v>
      </c>
      <c r="C704" s="4" t="s">
        <v>63</v>
      </c>
      <c r="D704" s="5" t="n">
        <v>1055.3987</v>
      </c>
      <c r="E704" s="5" t="n">
        <v>8.79</v>
      </c>
      <c r="F704" s="5" t="n">
        <v>0.0050772664021622</v>
      </c>
      <c r="G704" s="5" t="n">
        <v>1.2613</v>
      </c>
      <c r="H704" s="2" t="n">
        <f aca="false">D704*F704</f>
        <v>5.35854036039567</v>
      </c>
      <c r="I704" s="2" t="n">
        <f aca="false">IF(G704="","",D704*1000000/Inputs!$B$4^2*Inputs!$B$5/G704)</f>
        <v>4.25214516095812</v>
      </c>
      <c r="J704" s="2" t="n">
        <f aca="false">IF(C704="A",Inputs!$B$7,IF(C704="B",Inputs!$B$8,IF(C704="C",Inputs!$B$9,0)))</f>
        <v>1</v>
      </c>
      <c r="K704" s="2" t="n">
        <f aca="false">IF(AND(E704&lt;&gt;"",G704&lt;&gt;"",J704&gt;0),IF(I704&gt;=Inputs!$B$6,1,0),0)</f>
        <v>1</v>
      </c>
      <c r="L704" s="5" t="n">
        <v>1</v>
      </c>
      <c r="M704" s="5" t="n">
        <v>1055.4014</v>
      </c>
      <c r="N704" s="5" t="n">
        <v>5.36</v>
      </c>
      <c r="O704" s="4" t="s">
        <v>64</v>
      </c>
      <c r="P704" s="2" t="n">
        <f aca="false">IF(K704=1,J704/G704^2,0)</f>
        <v>0.628583835379576</v>
      </c>
      <c r="Q704" s="2" t="n">
        <f aca="false">IF(K704=1,((E704-Result!$B$7*D704)/G704)^2,0)</f>
        <v>7.50937825752945</v>
      </c>
    </row>
    <row r="705" customFormat="false" ht="15" hidden="false" customHeight="false" outlineLevel="0" collapsed="false">
      <c r="A705" s="4" t="s">
        <v>37</v>
      </c>
      <c r="B705" s="4" t="s">
        <v>771</v>
      </c>
      <c r="C705" s="4" t="s">
        <v>63</v>
      </c>
      <c r="D705" s="5" t="n">
        <v>1647.1106</v>
      </c>
      <c r="E705" s="5" t="n">
        <v>10.02</v>
      </c>
      <c r="F705" s="5" t="n">
        <v>0.00507733009717266</v>
      </c>
      <c r="G705" s="5" t="n">
        <v>1.2613</v>
      </c>
      <c r="H705" s="2" t="n">
        <f aca="false">D705*F705</f>
        <v>8.36292422275212</v>
      </c>
      <c r="I705" s="2" t="n">
        <f aca="false">IF(G705="","",D705*1000000/Inputs!$B$4^2*Inputs!$B$5/G705)</f>
        <v>6.63612089663634</v>
      </c>
      <c r="J705" s="2" t="n">
        <f aca="false">IF(C705="A",Inputs!$B$7,IF(C705="B",Inputs!$B$8,IF(C705="C",Inputs!$B$9,0)))</f>
        <v>1</v>
      </c>
      <c r="K705" s="2" t="n">
        <f aca="false">IF(AND(E705&lt;&gt;"",G705&lt;&gt;"",J705&gt;0),IF(I705&gt;=Inputs!$B$6,1,0),0)</f>
        <v>1</v>
      </c>
      <c r="L705" s="5" t="n">
        <v>0</v>
      </c>
      <c r="M705" s="5" t="n">
        <v>1647.1296</v>
      </c>
      <c r="N705" s="5" t="n">
        <v>8.36</v>
      </c>
      <c r="O705" s="4" t="s">
        <v>64</v>
      </c>
      <c r="P705" s="2" t="n">
        <f aca="false">IF(K705=1,J705/G705^2,0)</f>
        <v>0.628583835379576</v>
      </c>
      <c r="Q705" s="2" t="n">
        <f aca="false">IF(K705=1,((E705-Result!$B$7*D705)/G705)^2,0)</f>
        <v>1.8081945781571</v>
      </c>
    </row>
    <row r="706" customFormat="false" ht="15" hidden="false" customHeight="false" outlineLevel="0" collapsed="false">
      <c r="A706" s="4" t="s">
        <v>37</v>
      </c>
      <c r="B706" s="4" t="s">
        <v>772</v>
      </c>
      <c r="C706" s="4" t="s">
        <v>63</v>
      </c>
      <c r="D706" s="5" t="n">
        <v>2356.2678</v>
      </c>
      <c r="E706" s="5" t="n">
        <v>9.74</v>
      </c>
      <c r="F706" s="5" t="n">
        <v>0.00507760459515457</v>
      </c>
      <c r="G706" s="5" t="n">
        <v>1.2613</v>
      </c>
      <c r="H706" s="2" t="n">
        <f aca="false">D706*F706</f>
        <v>11.9641962086947</v>
      </c>
      <c r="I706" s="2" t="n">
        <f aca="false">IF(G706="","",D706*1000000/Inputs!$B$4^2*Inputs!$B$5/G706)</f>
        <v>9.49327749190087</v>
      </c>
      <c r="J706" s="2" t="n">
        <f aca="false">IF(C706="A",Inputs!$B$7,IF(C706="B",Inputs!$B$8,IF(C706="C",Inputs!$B$9,0)))</f>
        <v>1</v>
      </c>
      <c r="K706" s="2" t="n">
        <f aca="false">IF(AND(E706&lt;&gt;"",G706&lt;&gt;"",J706&gt;0),IF(I706&gt;=Inputs!$B$6,1,0),0)</f>
        <v>1</v>
      </c>
      <c r="L706" s="5" t="n">
        <v>0</v>
      </c>
      <c r="M706" s="5" t="n">
        <v>2356.3154</v>
      </c>
      <c r="N706" s="5" t="n">
        <v>11.96</v>
      </c>
      <c r="O706" s="4" t="s">
        <v>64</v>
      </c>
      <c r="P706" s="2" t="n">
        <f aca="false">IF(K706=1,J706/G706^2,0)</f>
        <v>0.628583835379576</v>
      </c>
      <c r="Q706" s="2" t="n">
        <f aca="false">IF(K706=1,((E706-Result!$B$7*D706)/G706)^2,0)</f>
        <v>2.953890685968</v>
      </c>
    </row>
    <row r="707" customFormat="false" ht="15" hidden="false" customHeight="false" outlineLevel="0" collapsed="false">
      <c r="A707" s="4" t="s">
        <v>37</v>
      </c>
      <c r="B707" s="4" t="s">
        <v>773</v>
      </c>
      <c r="C707" s="4" t="s">
        <v>63</v>
      </c>
      <c r="D707" s="5" t="n">
        <v>1079.8238</v>
      </c>
      <c r="E707" s="5" t="n">
        <v>6.49</v>
      </c>
      <c r="F707" s="5" t="n">
        <v>0.00507712928916439</v>
      </c>
      <c r="G707" s="5" t="n">
        <v>1.2613</v>
      </c>
      <c r="H707" s="2" t="n">
        <f aca="false">D707*F707</f>
        <v>5.48240504211679</v>
      </c>
      <c r="I707" s="2" t="n">
        <f aca="false">IF(G707="","",D707*1000000/Inputs!$B$4^2*Inputs!$B$5/G707)</f>
        <v>4.35055258819005</v>
      </c>
      <c r="J707" s="2" t="n">
        <f aca="false">IF(C707="A",Inputs!$B$7,IF(C707="B",Inputs!$B$8,IF(C707="C",Inputs!$B$9,0)))</f>
        <v>1</v>
      </c>
      <c r="K707" s="2" t="n">
        <f aca="false">IF(AND(E707&lt;&gt;"",G707&lt;&gt;"",J707&gt;0),IF(I707&gt;=Inputs!$B$6,1,0),0)</f>
        <v>1</v>
      </c>
      <c r="L707" s="5" t="n">
        <v>0</v>
      </c>
      <c r="M707" s="5" t="n">
        <v>1079.8239</v>
      </c>
      <c r="N707" s="5" t="n">
        <v>5.48</v>
      </c>
      <c r="O707" s="4" t="s">
        <v>64</v>
      </c>
      <c r="P707" s="2" t="n">
        <f aca="false">IF(K707=1,J707/G707^2,0)</f>
        <v>0.628583835379576</v>
      </c>
      <c r="Q707" s="2" t="n">
        <f aca="false">IF(K707=1,((E707-Result!$B$7*D707)/G707)^2,0)</f>
        <v>0.670670561019032</v>
      </c>
    </row>
    <row r="708" customFormat="false" ht="15" hidden="false" customHeight="false" outlineLevel="0" collapsed="false">
      <c r="A708" s="4" t="s">
        <v>37</v>
      </c>
      <c r="B708" s="4" t="s">
        <v>774</v>
      </c>
      <c r="C708" s="4" t="s">
        <v>63</v>
      </c>
      <c r="D708" s="5" t="n">
        <v>2837.2526</v>
      </c>
      <c r="E708" s="5" t="n">
        <v>14</v>
      </c>
      <c r="F708" s="5" t="n">
        <v>0.00507740412676081</v>
      </c>
      <c r="G708" s="5" t="n">
        <v>1.2613</v>
      </c>
      <c r="H708" s="2" t="n">
        <f aca="false">D708*F708</f>
        <v>14.4058780599028</v>
      </c>
      <c r="I708" s="2" t="n">
        <f aca="false">IF(G708="","",D708*1000000/Inputs!$B$4^2*Inputs!$B$5/G708)</f>
        <v>11.43113963804</v>
      </c>
      <c r="J708" s="2" t="n">
        <f aca="false">IF(C708="A",Inputs!$B$7,IF(C708="B",Inputs!$B$8,IF(C708="C",Inputs!$B$9,0)))</f>
        <v>1</v>
      </c>
      <c r="K708" s="2" t="n">
        <f aca="false">IF(AND(E708&lt;&gt;"",G708&lt;&gt;"",J708&gt;0),IF(I708&gt;=Inputs!$B$6,1,0),0)</f>
        <v>1</v>
      </c>
      <c r="L708" s="5" t="n">
        <v>1</v>
      </c>
      <c r="M708" s="5" t="n">
        <v>2837.3009</v>
      </c>
      <c r="N708" s="5" t="n">
        <v>14.4</v>
      </c>
      <c r="O708" s="4" t="s">
        <v>64</v>
      </c>
      <c r="P708" s="2" t="n">
        <f aca="false">IF(K708=1,J708/G708^2,0)</f>
        <v>0.628583835379576</v>
      </c>
      <c r="Q708" s="2" t="n">
        <f aca="false">IF(K708=1,((E708-Result!$B$7*D708)/G708)^2,0)</f>
        <v>0.0720316993497511</v>
      </c>
    </row>
    <row r="709" customFormat="false" ht="15" hidden="false" customHeight="false" outlineLevel="0" collapsed="false">
      <c r="A709" s="4" t="s">
        <v>37</v>
      </c>
      <c r="B709" s="4" t="s">
        <v>775</v>
      </c>
      <c r="C709" s="4" t="s">
        <v>63</v>
      </c>
      <c r="D709" s="5" t="n">
        <v>2812.8421</v>
      </c>
      <c r="E709" s="5" t="n">
        <v>16.3</v>
      </c>
      <c r="F709" s="5" t="n">
        <v>0.00507745804497759</v>
      </c>
      <c r="G709" s="5" t="n">
        <v>1.2613</v>
      </c>
      <c r="H709" s="2" t="n">
        <f aca="false">D709*F709</f>
        <v>14.2820877498967</v>
      </c>
      <c r="I709" s="2" t="n">
        <f aca="false">IF(G709="","",D709*1000000/Inputs!$B$4^2*Inputs!$B$5/G709)</f>
        <v>11.3327910334306</v>
      </c>
      <c r="J709" s="2" t="n">
        <f aca="false">IF(C709="A",Inputs!$B$7,IF(C709="B",Inputs!$B$8,IF(C709="C",Inputs!$B$9,0)))</f>
        <v>1</v>
      </c>
      <c r="K709" s="2" t="n">
        <f aca="false">IF(AND(E709&lt;&gt;"",G709&lt;&gt;"",J709&gt;0),IF(I709&gt;=Inputs!$B$6,1,0),0)</f>
        <v>1</v>
      </c>
      <c r="L709" s="5" t="n">
        <v>0</v>
      </c>
      <c r="M709" s="5" t="n">
        <v>2812.8784</v>
      </c>
      <c r="N709" s="5" t="n">
        <v>14.28</v>
      </c>
      <c r="O709" s="4" t="s">
        <v>64</v>
      </c>
      <c r="P709" s="2" t="n">
        <f aca="false">IF(K709=1,J709/G709^2,0)</f>
        <v>0.628583835379576</v>
      </c>
      <c r="Q709" s="2" t="n">
        <f aca="false">IF(K709=1,((E709-Result!$B$7*D709)/G709)^2,0)</f>
        <v>2.73219073643486</v>
      </c>
    </row>
    <row r="710" customFormat="false" ht="15" hidden="false" customHeight="false" outlineLevel="0" collapsed="false">
      <c r="A710" s="4" t="s">
        <v>37</v>
      </c>
      <c r="B710" s="4" t="s">
        <v>776</v>
      </c>
      <c r="C710" s="4" t="s">
        <v>63</v>
      </c>
      <c r="D710" s="5" t="n">
        <v>1117.7789</v>
      </c>
      <c r="E710" s="5" t="n">
        <v>4.15</v>
      </c>
      <c r="F710" s="5" t="n">
        <v>0.00507714320902581</v>
      </c>
      <c r="G710" s="5" t="n">
        <v>1.2613</v>
      </c>
      <c r="H710" s="2" t="n">
        <f aca="false">D710*F710</f>
        <v>5.67512355132733</v>
      </c>
      <c r="I710" s="2" t="n">
        <f aca="false">IF(G710="","",D710*1000000/Inputs!$B$4^2*Inputs!$B$5/G710)</f>
        <v>4.50347166493202</v>
      </c>
      <c r="J710" s="2" t="n">
        <f aca="false">IF(C710="A",Inputs!$B$7,IF(C710="B",Inputs!$B$8,IF(C710="C",Inputs!$B$9,0)))</f>
        <v>1</v>
      </c>
      <c r="K710" s="2" t="n">
        <f aca="false">IF(AND(E710&lt;&gt;"",G710&lt;&gt;"",J710&gt;0),IF(I710&gt;=Inputs!$B$6,1,0),0)</f>
        <v>1</v>
      </c>
      <c r="L710" s="5" t="n">
        <v>1</v>
      </c>
      <c r="M710" s="5" t="n">
        <v>1117.7826</v>
      </c>
      <c r="N710" s="5" t="n">
        <v>5.67</v>
      </c>
      <c r="O710" s="4" t="s">
        <v>64</v>
      </c>
      <c r="P710" s="2" t="n">
        <f aca="false">IF(K710=1,J710/G710^2,0)</f>
        <v>0.628583835379576</v>
      </c>
      <c r="Q710" s="2" t="n">
        <f aca="false">IF(K710=1,((E710-Result!$B$7*D710)/G710)^2,0)</f>
        <v>1.41219710880436</v>
      </c>
    </row>
    <row r="711" customFormat="false" ht="15" hidden="false" customHeight="false" outlineLevel="0" collapsed="false">
      <c r="A711" s="4" t="s">
        <v>37</v>
      </c>
      <c r="B711" s="4" t="s">
        <v>777</v>
      </c>
      <c r="C711" s="4" t="s">
        <v>63</v>
      </c>
      <c r="D711" s="5" t="n">
        <v>509.5445</v>
      </c>
      <c r="E711" s="5" t="n">
        <v>0.81</v>
      </c>
      <c r="F711" s="5" t="n">
        <v>0.00507713521746042</v>
      </c>
      <c r="G711" s="5" t="n">
        <v>1.2613</v>
      </c>
      <c r="H711" s="2" t="n">
        <f aca="false">D711*F711</f>
        <v>2.58702632581326</v>
      </c>
      <c r="I711" s="2" t="n">
        <f aca="false">IF(G711="","",D711*1000000/Inputs!$B$4^2*Inputs!$B$5/G711)</f>
        <v>2.05292765659824</v>
      </c>
      <c r="J711" s="2" t="n">
        <f aca="false">IF(C711="A",Inputs!$B$7,IF(C711="B",Inputs!$B$8,IF(C711="C",Inputs!$B$9,0)))</f>
        <v>1</v>
      </c>
      <c r="K711" s="2" t="n">
        <f aca="false">IF(AND(E711&lt;&gt;"",G711&lt;&gt;"",J711&gt;0),IF(I711&gt;=Inputs!$B$6,1,0),0)</f>
        <v>1</v>
      </c>
      <c r="L711" s="5" t="n">
        <v>0</v>
      </c>
      <c r="M711" s="5" t="n">
        <v>509.5456</v>
      </c>
      <c r="N711" s="5" t="n">
        <v>2.59</v>
      </c>
      <c r="O711" s="4" t="s">
        <v>64</v>
      </c>
      <c r="P711" s="2" t="n">
        <f aca="false">IF(K711=1,J711/G711^2,0)</f>
        <v>0.628583835379576</v>
      </c>
      <c r="Q711" s="2" t="n">
        <f aca="false">IF(K711=1,((E711-Result!$B$7*D711)/G711)^2,0)</f>
        <v>1.95832627037955</v>
      </c>
    </row>
    <row r="712" customFormat="false" ht="15" hidden="false" customHeight="false" outlineLevel="0" collapsed="false">
      <c r="A712" s="4" t="s">
        <v>37</v>
      </c>
      <c r="B712" s="4" t="s">
        <v>778</v>
      </c>
      <c r="C712" s="4" t="s">
        <v>63</v>
      </c>
      <c r="D712" s="5" t="n">
        <v>438.6538</v>
      </c>
      <c r="E712" s="5" t="n">
        <v>0.52</v>
      </c>
      <c r="F712" s="5" t="n">
        <v>0.00507720313897595</v>
      </c>
      <c r="G712" s="5" t="n">
        <v>1.2613</v>
      </c>
      <c r="H712" s="2" t="n">
        <f aca="false">D712*F712</f>
        <v>2.22713445028373</v>
      </c>
      <c r="I712" s="2" t="n">
        <f aca="false">IF(G712="","",D712*1000000/Inputs!$B$4^2*Inputs!$B$5/G712)</f>
        <v>1.76731280131944</v>
      </c>
      <c r="J712" s="2" t="n">
        <f aca="false">IF(C712="A",Inputs!$B$7,IF(C712="B",Inputs!$B$8,IF(C712="C",Inputs!$B$9,0)))</f>
        <v>1</v>
      </c>
      <c r="K712" s="2" t="n">
        <f aca="false">IF(AND(E712&lt;&gt;"",G712&lt;&gt;"",J712&gt;0),IF(I712&gt;=Inputs!$B$6,1,0),0)</f>
        <v>0</v>
      </c>
      <c r="L712" s="5" t="n">
        <v>0</v>
      </c>
      <c r="M712" s="5" t="n">
        <v>438.6527</v>
      </c>
      <c r="N712" s="5" t="n">
        <v>2.23</v>
      </c>
      <c r="O712" s="4" t="s">
        <v>64</v>
      </c>
      <c r="P712" s="2" t="n">
        <f aca="false">IF(K712=1,J712/G712^2,0)</f>
        <v>0</v>
      </c>
      <c r="Q712" s="2" t="n">
        <f aca="false">IF(K712=1,((E712-Result!$B$7*D712)/G712)^2,0)</f>
        <v>0</v>
      </c>
    </row>
    <row r="713" customFormat="false" ht="15" hidden="false" customHeight="false" outlineLevel="0" collapsed="false">
      <c r="A713" s="4" t="s">
        <v>37</v>
      </c>
      <c r="B713" s="4" t="s">
        <v>779</v>
      </c>
      <c r="C713" s="4" t="s">
        <v>63</v>
      </c>
      <c r="D713" s="5" t="n">
        <v>169.5843</v>
      </c>
      <c r="E713" s="5" t="n">
        <v>2.82</v>
      </c>
      <c r="F713" s="5" t="n">
        <v>0.00507701120101116</v>
      </c>
      <c r="G713" s="5" t="n">
        <v>1.2613</v>
      </c>
      <c r="H713" s="2" t="n">
        <f aca="false">D713*F713</f>
        <v>0.860981390615637</v>
      </c>
      <c r="I713" s="2" t="n">
        <f aca="false">IF(G713="","",D713*1000000/Inputs!$B$4^2*Inputs!$B$5/G713)</f>
        <v>0.683246114117319</v>
      </c>
      <c r="J713" s="2" t="n">
        <f aca="false">IF(C713="A",Inputs!$B$7,IF(C713="B",Inputs!$B$8,IF(C713="C",Inputs!$B$9,0)))</f>
        <v>1</v>
      </c>
      <c r="K713" s="2" t="n">
        <f aca="false">IF(AND(E713&lt;&gt;"",G713&lt;&gt;"",J713&gt;0),IF(I713&gt;=Inputs!$B$6,1,0),0)</f>
        <v>0</v>
      </c>
      <c r="L713" s="5" t="n">
        <v>0</v>
      </c>
      <c r="M713" s="5" t="n">
        <v>169.5843</v>
      </c>
      <c r="N713" s="5" t="n">
        <v>0.86</v>
      </c>
      <c r="O713" s="4" t="s">
        <v>64</v>
      </c>
      <c r="P713" s="2" t="n">
        <f aca="false">IF(K713=1,J713/G713^2,0)</f>
        <v>0</v>
      </c>
      <c r="Q713" s="2" t="n">
        <f aca="false">IF(K713=1,((E713-Result!$B$7*D713)/G713)^2,0)</f>
        <v>0</v>
      </c>
    </row>
    <row r="714" customFormat="false" ht="15" hidden="false" customHeight="false" outlineLevel="0" collapsed="false">
      <c r="A714" s="4" t="s">
        <v>37</v>
      </c>
      <c r="B714" s="4" t="s">
        <v>780</v>
      </c>
      <c r="C714" s="4" t="s">
        <v>63</v>
      </c>
      <c r="D714" s="5" t="n">
        <v>429.3993</v>
      </c>
      <c r="E714" s="5" t="n">
        <v>1.25</v>
      </c>
      <c r="F714" s="5" t="n">
        <v>0.00507729100823813</v>
      </c>
      <c r="G714" s="5" t="n">
        <v>1.2613</v>
      </c>
      <c r="H714" s="2" t="n">
        <f aca="false">D714*F714</f>
        <v>2.18018520483375</v>
      </c>
      <c r="I714" s="2" t="n">
        <f aca="false">IF(G714="","",D714*1000000/Inputs!$B$4^2*Inputs!$B$5/G714)</f>
        <v>1.7300269136335</v>
      </c>
      <c r="J714" s="2" t="n">
        <f aca="false">IF(C714="A",Inputs!$B$7,IF(C714="B",Inputs!$B$8,IF(C714="C",Inputs!$B$9,0)))</f>
        <v>1</v>
      </c>
      <c r="K714" s="2" t="n">
        <f aca="false">IF(AND(E714&lt;&gt;"",G714&lt;&gt;"",J714&gt;0),IF(I714&gt;=Inputs!$B$6,1,0),0)</f>
        <v>0</v>
      </c>
      <c r="L714" s="5" t="n">
        <v>0</v>
      </c>
      <c r="M714" s="5" t="n">
        <v>429.3986</v>
      </c>
      <c r="N714" s="5" t="n">
        <v>2.18</v>
      </c>
      <c r="O714" s="4" t="s">
        <v>64</v>
      </c>
      <c r="P714" s="2" t="n">
        <f aca="false">IF(K714=1,J714/G714^2,0)</f>
        <v>0</v>
      </c>
      <c r="Q714" s="2" t="n">
        <f aca="false">IF(K714=1,((E714-Result!$B$7*D714)/G714)^2,0)</f>
        <v>0</v>
      </c>
    </row>
    <row r="715" customFormat="false" ht="15" hidden="false" customHeight="false" outlineLevel="0" collapsed="false">
      <c r="A715" s="4" t="s">
        <v>37</v>
      </c>
      <c r="B715" s="4" t="s">
        <v>781</v>
      </c>
      <c r="C715" s="4" t="s">
        <v>63</v>
      </c>
      <c r="D715" s="5" t="n">
        <v>300.8886</v>
      </c>
      <c r="E715" s="5" t="n">
        <v>0.34</v>
      </c>
      <c r="F715" s="5" t="n">
        <v>0.00507728302377155</v>
      </c>
      <c r="G715" s="5" t="n">
        <v>1.2613</v>
      </c>
      <c r="H715" s="2" t="n">
        <f aca="false">D715*F715</f>
        <v>1.52769658082639</v>
      </c>
      <c r="I715" s="2" t="n">
        <f aca="false">IF(G715="","",D715*1000000/Inputs!$B$4^2*Inputs!$B$5/G715)</f>
        <v>1.21226414669401</v>
      </c>
      <c r="J715" s="2" t="n">
        <f aca="false">IF(C715="A",Inputs!$B$7,IF(C715="B",Inputs!$B$8,IF(C715="C",Inputs!$B$9,0)))</f>
        <v>1</v>
      </c>
      <c r="K715" s="2" t="n">
        <f aca="false">IF(AND(E715&lt;&gt;"",G715&lt;&gt;"",J715&gt;0),IF(I715&gt;=Inputs!$B$6,1,0),0)</f>
        <v>0</v>
      </c>
      <c r="L715" s="5" t="n">
        <v>0</v>
      </c>
      <c r="M715" s="5" t="n">
        <v>300.8878</v>
      </c>
      <c r="N715" s="5" t="n">
        <v>1.53</v>
      </c>
      <c r="O715" s="4" t="s">
        <v>64</v>
      </c>
      <c r="P715" s="2" t="n">
        <f aca="false">IF(K715=1,J715/G715^2,0)</f>
        <v>0</v>
      </c>
      <c r="Q715" s="2" t="n">
        <f aca="false">IF(K715=1,((E715-Result!$B$7*D715)/G715)^2,0)</f>
        <v>0</v>
      </c>
    </row>
    <row r="716" customFormat="false" ht="15" hidden="false" customHeight="false" outlineLevel="0" collapsed="false">
      <c r="A716" s="4" t="s">
        <v>37</v>
      </c>
      <c r="B716" s="4" t="s">
        <v>782</v>
      </c>
      <c r="C716" s="4" t="s">
        <v>63</v>
      </c>
      <c r="D716" s="5" t="n">
        <v>267.9289</v>
      </c>
      <c r="E716" s="5" t="n">
        <v>0.81</v>
      </c>
      <c r="F716" s="5" t="n">
        <v>0.00507722312260502</v>
      </c>
      <c r="G716" s="5" t="n">
        <v>1.2613</v>
      </c>
      <c r="H716" s="2" t="n">
        <f aca="false">D716*F716</f>
        <v>1.36033480629413</v>
      </c>
      <c r="I716" s="2" t="n">
        <f aca="false">IF(G716="","",D716*1000000/Inputs!$B$4^2*Inputs!$B$5/G716)</f>
        <v>1.07947127054054</v>
      </c>
      <c r="J716" s="2" t="n">
        <f aca="false">IF(C716="A",Inputs!$B$7,IF(C716="B",Inputs!$B$8,IF(C716="C",Inputs!$B$9,0)))</f>
        <v>1</v>
      </c>
      <c r="K716" s="2" t="n">
        <f aca="false">IF(AND(E716&lt;&gt;"",G716&lt;&gt;"",J716&gt;0),IF(I716&gt;=Inputs!$B$6,1,0),0)</f>
        <v>0</v>
      </c>
      <c r="L716" s="5" t="n">
        <v>0</v>
      </c>
      <c r="M716" s="5" t="n">
        <v>267.929</v>
      </c>
      <c r="N716" s="5" t="n">
        <v>1.36</v>
      </c>
      <c r="O716" s="4" t="s">
        <v>64</v>
      </c>
      <c r="P716" s="2" t="n">
        <f aca="false">IF(K716=1,J716/G716^2,0)</f>
        <v>0</v>
      </c>
      <c r="Q716" s="2" t="n">
        <f aca="false">IF(K716=1,((E716-Result!$B$7*D716)/G716)^2,0)</f>
        <v>0</v>
      </c>
    </row>
    <row r="717" customFormat="false" ht="15" hidden="false" customHeight="false" outlineLevel="0" collapsed="false">
      <c r="A717" s="4" t="s">
        <v>37</v>
      </c>
      <c r="B717" s="4" t="s">
        <v>783</v>
      </c>
      <c r="C717" s="4" t="s">
        <v>63</v>
      </c>
      <c r="D717" s="5" t="n">
        <v>310.1428</v>
      </c>
      <c r="E717" s="5" t="n">
        <v>-0.39</v>
      </c>
      <c r="F717" s="5" t="n">
        <v>0.00507715911635595</v>
      </c>
      <c r="G717" s="5" t="n">
        <v>1.2613</v>
      </c>
      <c r="H717" s="2" t="n">
        <f aca="false">D717*F717</f>
        <v>1.57464434439216</v>
      </c>
      <c r="I717" s="2" t="n">
        <f aca="false">IF(G717="","",D717*1000000/Inputs!$B$4^2*Inputs!$B$5/G717)</f>
        <v>1.24954882569592</v>
      </c>
      <c r="J717" s="2" t="n">
        <f aca="false">IF(C717="A",Inputs!$B$7,IF(C717="B",Inputs!$B$8,IF(C717="C",Inputs!$B$9,0)))</f>
        <v>1</v>
      </c>
      <c r="K717" s="2" t="n">
        <f aca="false">IF(AND(E717&lt;&gt;"",G717&lt;&gt;"",J717&gt;0),IF(I717&gt;=Inputs!$B$6,1,0),0)</f>
        <v>0</v>
      </c>
      <c r="L717" s="5" t="n">
        <v>0</v>
      </c>
      <c r="M717" s="5" t="n">
        <v>310.1419</v>
      </c>
      <c r="N717" s="5" t="n">
        <v>1.57</v>
      </c>
      <c r="O717" s="4" t="s">
        <v>64</v>
      </c>
      <c r="P717" s="2" t="n">
        <f aca="false">IF(K717=1,J717/G717^2,0)</f>
        <v>0</v>
      </c>
      <c r="Q717" s="2" t="n">
        <f aca="false">IF(K717=1,((E717-Result!$B$7*D717)/G717)^2,0)</f>
        <v>0</v>
      </c>
    </row>
    <row r="718" customFormat="false" ht="15" hidden="false" customHeight="false" outlineLevel="0" collapsed="false">
      <c r="A718" s="4" t="s">
        <v>37</v>
      </c>
      <c r="B718" s="4" t="s">
        <v>784</v>
      </c>
      <c r="C718" s="4" t="s">
        <v>63</v>
      </c>
      <c r="D718" s="5" t="n">
        <v>956.312</v>
      </c>
      <c r="E718" s="5" t="n">
        <v>3.71</v>
      </c>
      <c r="F718" s="5" t="n">
        <v>0.0050770991706966</v>
      </c>
      <c r="G718" s="5" t="n">
        <v>1.2613</v>
      </c>
      <c r="H718" s="2" t="n">
        <f aca="false">D718*F718</f>
        <v>4.85529086212721</v>
      </c>
      <c r="I718" s="2" t="n">
        <f aca="false">IF(G718="","",D718*1000000/Inputs!$B$4^2*Inputs!$B$5/G718)</f>
        <v>3.85293012315269</v>
      </c>
      <c r="J718" s="2" t="n">
        <f aca="false">IF(C718="A",Inputs!$B$7,IF(C718="B",Inputs!$B$8,IF(C718="C",Inputs!$B$9,0)))</f>
        <v>1</v>
      </c>
      <c r="K718" s="2" t="n">
        <f aca="false">IF(AND(E718&lt;&gt;"",G718&lt;&gt;"",J718&gt;0),IF(I718&gt;=Inputs!$B$6,1,0),0)</f>
        <v>1</v>
      </c>
      <c r="L718" s="5" t="n">
        <v>0</v>
      </c>
      <c r="M718" s="5" t="n">
        <v>956.313</v>
      </c>
      <c r="N718" s="5" t="n">
        <v>4.86</v>
      </c>
      <c r="O718" s="4" t="s">
        <v>64</v>
      </c>
      <c r="P718" s="2" t="n">
        <f aca="false">IF(K718=1,J718/G718^2,0)</f>
        <v>0.628583835379576</v>
      </c>
      <c r="Q718" s="2" t="n">
        <f aca="false">IF(K718=1,((E718-Result!$B$7*D718)/G718)^2,0)</f>
        <v>0.792553076791482</v>
      </c>
    </row>
    <row r="719" customFormat="false" ht="15" hidden="false" customHeight="false" outlineLevel="0" collapsed="false">
      <c r="A719" s="4" t="s">
        <v>37</v>
      </c>
      <c r="B719" s="4" t="s">
        <v>785</v>
      </c>
      <c r="C719" s="4" t="s">
        <v>63</v>
      </c>
      <c r="D719" s="5" t="n">
        <v>476.5875</v>
      </c>
      <c r="E719" s="5" t="n">
        <v>1.28</v>
      </c>
      <c r="F719" s="5" t="n">
        <v>0.00507709117704757</v>
      </c>
      <c r="G719" s="5" t="n">
        <v>1.2613</v>
      </c>
      <c r="H719" s="2" t="n">
        <f aca="false">D719*F719</f>
        <v>2.41967819134116</v>
      </c>
      <c r="I719" s="2" t="n">
        <f aca="false">IF(G719="","",D719*1000000/Inputs!$B$4^2*Inputs!$B$5/G719)</f>
        <v>1.92014565860099</v>
      </c>
      <c r="J719" s="2" t="n">
        <f aca="false">IF(C719="A",Inputs!$B$7,IF(C719="B",Inputs!$B$8,IF(C719="C",Inputs!$B$9,0)))</f>
        <v>1</v>
      </c>
      <c r="K719" s="2" t="n">
        <f aca="false">IF(AND(E719&lt;&gt;"",G719&lt;&gt;"",J719&gt;0),IF(I719&gt;=Inputs!$B$6,1,0),0)</f>
        <v>0</v>
      </c>
      <c r="L719" s="5" t="n">
        <v>0</v>
      </c>
      <c r="M719" s="5" t="n">
        <v>476.5868</v>
      </c>
      <c r="N719" s="5" t="n">
        <v>2.42</v>
      </c>
      <c r="O719" s="4" t="s">
        <v>64</v>
      </c>
      <c r="P719" s="2" t="n">
        <f aca="false">IF(K719=1,J719/G719^2,0)</f>
        <v>0</v>
      </c>
      <c r="Q719" s="2" t="n">
        <f aca="false">IF(K719=1,((E719-Result!$B$7*D719)/G719)^2,0)</f>
        <v>0</v>
      </c>
    </row>
    <row r="720" customFormat="false" ht="15" hidden="false" customHeight="false" outlineLevel="0" collapsed="false">
      <c r="A720" s="4" t="s">
        <v>37</v>
      </c>
      <c r="B720" s="4" t="s">
        <v>786</v>
      </c>
      <c r="C720" s="4"/>
      <c r="D720" s="5" t="n">
        <v>374.5212</v>
      </c>
      <c r="E720" s="5"/>
      <c r="F720" s="5" t="n">
        <v>0.0050771860466913</v>
      </c>
      <c r="G720" s="5" t="n">
        <v>1.2613</v>
      </c>
      <c r="H720" s="2" t="n">
        <f aca="false">D720*F720</f>
        <v>1.90151381083008</v>
      </c>
      <c r="I720" s="2" t="n">
        <f aca="false">IF(G720="","",D720*1000000/Inputs!$B$4^2*Inputs!$B$5/G720)</f>
        <v>1.5089259710631</v>
      </c>
      <c r="J720" s="2" t="n">
        <f aca="false">IF(C720="A",Inputs!$B$7,IF(C720="B",Inputs!$B$8,IF(C720="C",Inputs!$B$9,0)))</f>
        <v>0</v>
      </c>
      <c r="K720" s="2" t="n">
        <f aca="false">IF(AND(E720&lt;&gt;"",G720&lt;&gt;"",J720&gt;0),IF(I720&gt;=Inputs!$B$6,1,0),0)</f>
        <v>0</v>
      </c>
      <c r="L720" s="5" t="n">
        <v>0</v>
      </c>
      <c r="M720" s="5" t="n">
        <v>374.5212</v>
      </c>
      <c r="N720" s="5" t="n">
        <v>1.9</v>
      </c>
      <c r="O720" s="4" t="s">
        <v>64</v>
      </c>
      <c r="P720" s="2" t="n">
        <f aca="false">IF(K720=1,J720/G720^2,0)</f>
        <v>0</v>
      </c>
      <c r="Q720" s="2" t="n">
        <f aca="false">IF(K720=1,((E720-Result!$B$7*D720)/G720)^2,0)</f>
        <v>0</v>
      </c>
    </row>
    <row r="721" customFormat="false" ht="15" hidden="false" customHeight="false" outlineLevel="0" collapsed="false">
      <c r="A721" s="4" t="s">
        <v>37</v>
      </c>
      <c r="B721" s="4" t="s">
        <v>787</v>
      </c>
      <c r="C721" s="4"/>
      <c r="D721" s="5" t="n">
        <v>406.8412</v>
      </c>
      <c r="E721" s="5"/>
      <c r="F721" s="5" t="n">
        <v>0.00507727392501887</v>
      </c>
      <c r="G721" s="5" t="n">
        <v>1.2613</v>
      </c>
      <c r="H721" s="2" t="n">
        <f aca="false">D721*F721</f>
        <v>2.06564421638339</v>
      </c>
      <c r="I721" s="2" t="n">
        <f aca="false">IF(G721="","",D721*1000000/Inputs!$B$4^2*Inputs!$B$5/G721)</f>
        <v>1.63914152998141</v>
      </c>
      <c r="J721" s="2" t="n">
        <f aca="false">IF(C721="A",Inputs!$B$7,IF(C721="B",Inputs!$B$8,IF(C721="C",Inputs!$B$9,0)))</f>
        <v>0</v>
      </c>
      <c r="K721" s="2" t="n">
        <f aca="false">IF(AND(E721&lt;&gt;"",G721&lt;&gt;"",J721&gt;0),IF(I721&gt;=Inputs!$B$6,1,0),0)</f>
        <v>0</v>
      </c>
      <c r="L721" s="5" t="n">
        <v>0</v>
      </c>
      <c r="M721" s="5" t="n">
        <v>406.8412</v>
      </c>
      <c r="N721" s="5" t="n">
        <v>2.07</v>
      </c>
      <c r="O721" s="4" t="s">
        <v>64</v>
      </c>
      <c r="P721" s="2" t="n">
        <f aca="false">IF(K721=1,J721/G721^2,0)</f>
        <v>0</v>
      </c>
      <c r="Q721" s="2" t="n">
        <f aca="false">IF(K721=1,((E721-Result!$B$7*D721)/G721)^2,0)</f>
        <v>0</v>
      </c>
    </row>
    <row r="722" customFormat="false" ht="15" hidden="false" customHeight="false" outlineLevel="0" collapsed="false">
      <c r="A722" s="4" t="s">
        <v>37</v>
      </c>
      <c r="B722" s="4" t="s">
        <v>788</v>
      </c>
      <c r="C722" s="4"/>
      <c r="D722" s="5" t="n">
        <v>56.8864</v>
      </c>
      <c r="E722" s="5"/>
      <c r="F722" s="5" t="n">
        <v>0.00507731791713993</v>
      </c>
      <c r="G722" s="5" t="n">
        <v>1.2613</v>
      </c>
      <c r="H722" s="2" t="n">
        <f aca="false">D722*F722</f>
        <v>0.288830337961589</v>
      </c>
      <c r="I722" s="2" t="n">
        <f aca="false">IF(G722="","",D722*1000000/Inputs!$B$4^2*Inputs!$B$5/G722)</f>
        <v>0.229192276325836</v>
      </c>
      <c r="J722" s="2" t="n">
        <f aca="false">IF(C722="A",Inputs!$B$7,IF(C722="B",Inputs!$B$8,IF(C722="C",Inputs!$B$9,0)))</f>
        <v>0</v>
      </c>
      <c r="K722" s="2" t="n">
        <f aca="false">IF(AND(E722&lt;&gt;"",G722&lt;&gt;"",J722&gt;0),IF(I722&gt;=Inputs!$B$6,1,0),0)</f>
        <v>0</v>
      </c>
      <c r="L722" s="5" t="n">
        <v>0</v>
      </c>
      <c r="M722" s="5" t="n">
        <v>56.8864</v>
      </c>
      <c r="N722" s="5" t="n">
        <v>0.29</v>
      </c>
      <c r="O722" s="4" t="s">
        <v>64</v>
      </c>
      <c r="P722" s="2" t="n">
        <f aca="false">IF(K722=1,J722/G722^2,0)</f>
        <v>0</v>
      </c>
      <c r="Q722" s="2" t="n">
        <f aca="false">IF(K722=1,((E722-Result!$B$7*D722)/G722)^2,0)</f>
        <v>0</v>
      </c>
    </row>
    <row r="723" customFormat="false" ht="15" hidden="false" customHeight="false" outlineLevel="0" collapsed="false">
      <c r="A723" s="4" t="s">
        <v>37</v>
      </c>
      <c r="B723" s="4" t="s">
        <v>789</v>
      </c>
      <c r="C723" s="4" t="s">
        <v>63</v>
      </c>
      <c r="D723" s="5" t="n">
        <v>342.4629</v>
      </c>
      <c r="E723" s="5" t="n">
        <v>7.93</v>
      </c>
      <c r="F723" s="5" t="n">
        <v>0.00507726593972344</v>
      </c>
      <c r="G723" s="5" t="n">
        <v>1.2613</v>
      </c>
      <c r="H723" s="2" t="n">
        <f aca="false">D723*F723</f>
        <v>1.73877521778892</v>
      </c>
      <c r="I723" s="2" t="n">
        <f aca="false">IF(G723="","",D723*1000000/Inputs!$B$4^2*Inputs!$B$5/G723)</f>
        <v>1.37976478750892</v>
      </c>
      <c r="J723" s="2" t="n">
        <f aca="false">IF(C723="A",Inputs!$B$7,IF(C723="B",Inputs!$B$8,IF(C723="C",Inputs!$B$9,0)))</f>
        <v>1</v>
      </c>
      <c r="K723" s="2" t="n">
        <f aca="false">IF(AND(E723&lt;&gt;"",G723&lt;&gt;"",J723&gt;0),IF(I723&gt;=Inputs!$B$6,1,0),0)</f>
        <v>0</v>
      </c>
      <c r="L723" s="5" t="n">
        <v>0</v>
      </c>
      <c r="M723" s="5" t="n">
        <v>342.4619</v>
      </c>
      <c r="N723" s="5" t="n">
        <v>1.74</v>
      </c>
      <c r="O723" s="4" t="s">
        <v>64</v>
      </c>
      <c r="P723" s="2" t="n">
        <f aca="false">IF(K723=1,J723/G723^2,0)</f>
        <v>0</v>
      </c>
      <c r="Q723" s="2" t="n">
        <f aca="false">IF(K723=1,((E723-Result!$B$7*D723)/G723)^2,0)</f>
        <v>0</v>
      </c>
    </row>
    <row r="724" customFormat="false" ht="15" hidden="false" customHeight="false" outlineLevel="0" collapsed="false">
      <c r="A724" s="4" t="s">
        <v>37</v>
      </c>
      <c r="B724" s="4" t="s">
        <v>790</v>
      </c>
      <c r="C724" s="4" t="s">
        <v>63</v>
      </c>
      <c r="D724" s="5" t="n">
        <v>121.0184</v>
      </c>
      <c r="E724" s="5" t="n">
        <v>7.1</v>
      </c>
      <c r="F724" s="5" t="n">
        <v>0.00507730993398335</v>
      </c>
      <c r="G724" s="5" t="n">
        <v>1.2613</v>
      </c>
      <c r="H724" s="2" t="n">
        <f aca="false">D724*F724</f>
        <v>0.614447924514771</v>
      </c>
      <c r="I724" s="2" t="n">
        <f aca="false">IF(G724="","",D724*1000000/Inputs!$B$4^2*Inputs!$B$5/G724)</f>
        <v>0.487576689214128</v>
      </c>
      <c r="J724" s="2" t="n">
        <f aca="false">IF(C724="A",Inputs!$B$7,IF(C724="B",Inputs!$B$8,IF(C724="C",Inputs!$B$9,0)))</f>
        <v>1</v>
      </c>
      <c r="K724" s="2" t="n">
        <f aca="false">IF(AND(E724&lt;&gt;"",G724&lt;&gt;"",J724&gt;0),IF(I724&gt;=Inputs!$B$6,1,0),0)</f>
        <v>0</v>
      </c>
      <c r="L724" s="5" t="n">
        <v>0</v>
      </c>
      <c r="M724" s="5" t="n">
        <v>121.0178</v>
      </c>
      <c r="N724" s="5" t="n">
        <v>0.61</v>
      </c>
      <c r="O724" s="4" t="s">
        <v>64</v>
      </c>
      <c r="P724" s="2" t="n">
        <f aca="false">IF(K724=1,J724/G724^2,0)</f>
        <v>0</v>
      </c>
      <c r="Q724" s="2" t="n">
        <f aca="false">IF(K724=1,((E724-Result!$B$7*D724)/G724)^2,0)</f>
        <v>0</v>
      </c>
    </row>
    <row r="725" customFormat="false" ht="15" hidden="false" customHeight="false" outlineLevel="0" collapsed="false">
      <c r="A725" s="4" t="s">
        <v>37</v>
      </c>
      <c r="B725" s="4" t="s">
        <v>791</v>
      </c>
      <c r="C725" s="4" t="s">
        <v>63</v>
      </c>
      <c r="D725" s="5" t="n">
        <v>79.4441</v>
      </c>
      <c r="E725" s="5" t="n">
        <v>-0.49</v>
      </c>
      <c r="F725" s="5" t="n">
        <v>0.00507739774606002</v>
      </c>
      <c r="G725" s="5" t="n">
        <v>1.2613</v>
      </c>
      <c r="H725" s="2" t="n">
        <f aca="false">D725*F725</f>
        <v>0.403369294277767</v>
      </c>
      <c r="I725" s="2" t="n">
        <f aca="false">IF(G725="","",D725*1000000/Inputs!$B$4^2*Inputs!$B$5/G725)</f>
        <v>0.320076048399219</v>
      </c>
      <c r="J725" s="2" t="n">
        <f aca="false">IF(C725="A",Inputs!$B$7,IF(C725="B",Inputs!$B$8,IF(C725="C",Inputs!$B$9,0)))</f>
        <v>1</v>
      </c>
      <c r="K725" s="2" t="n">
        <f aca="false">IF(AND(E725&lt;&gt;"",G725&lt;&gt;"",J725&gt;0),IF(I725&gt;=Inputs!$B$6,1,0),0)</f>
        <v>0</v>
      </c>
      <c r="L725" s="5" t="n">
        <v>0</v>
      </c>
      <c r="M725" s="5" t="n">
        <v>79.4438</v>
      </c>
      <c r="N725" s="5" t="n">
        <v>0.4</v>
      </c>
      <c r="O725" s="4" t="s">
        <v>64</v>
      </c>
      <c r="P725" s="2" t="n">
        <f aca="false">IF(K725=1,J725/G725^2,0)</f>
        <v>0</v>
      </c>
      <c r="Q725" s="2" t="n">
        <f aca="false">IF(K725=1,((E725-Result!$B$7*D725)/G725)^2,0)</f>
        <v>0</v>
      </c>
    </row>
    <row r="726" customFormat="false" ht="15" hidden="false" customHeight="false" outlineLevel="0" collapsed="false">
      <c r="A726" s="4" t="s">
        <v>38</v>
      </c>
      <c r="B726" s="4" t="s">
        <v>792</v>
      </c>
      <c r="C726" s="4" t="s">
        <v>63</v>
      </c>
      <c r="D726" s="5" t="n">
        <v>492.4718</v>
      </c>
      <c r="E726" s="5" t="n">
        <v>3.123</v>
      </c>
      <c r="F726" s="5" t="n">
        <v>0.0050706494814807</v>
      </c>
      <c r="G726" s="5" t="n">
        <v>1.3972</v>
      </c>
      <c r="H726" s="2" t="n">
        <f aca="false">D726*F726</f>
        <v>2.49715187731387</v>
      </c>
      <c r="I726" s="2" t="n">
        <f aca="false">IF(G726="","",D726*1000000/Inputs!$B$4^2*Inputs!$B$5/G726)</f>
        <v>1.79115311611151</v>
      </c>
      <c r="J726" s="2" t="n">
        <f aca="false">IF(C726="A",Inputs!$B$7,IF(C726="B",Inputs!$B$8,IF(C726="C",Inputs!$B$9,0)))</f>
        <v>1</v>
      </c>
      <c r="K726" s="2" t="n">
        <f aca="false">IF(AND(E726&lt;&gt;"",G726&lt;&gt;"",J726&gt;0),IF(I726&gt;=Inputs!$B$6,1,0),0)</f>
        <v>0</v>
      </c>
      <c r="L726" s="5" t="n">
        <v>1</v>
      </c>
      <c r="M726" s="5" t="n">
        <v>492.4632</v>
      </c>
      <c r="N726" s="5" t="n">
        <v>2.498</v>
      </c>
      <c r="O726" s="4" t="s">
        <v>64</v>
      </c>
      <c r="P726" s="2" t="n">
        <f aca="false">IF(K726=1,J726/G726^2,0)</f>
        <v>0</v>
      </c>
      <c r="Q726" s="2" t="n">
        <f aca="false">IF(K726=1,((E726-Result!$B$7*D726)/G726)^2,0)</f>
        <v>0</v>
      </c>
    </row>
    <row r="727" customFormat="false" ht="15" hidden="false" customHeight="false" outlineLevel="0" collapsed="false">
      <c r="A727" s="4" t="s">
        <v>38</v>
      </c>
      <c r="B727" s="4" t="s">
        <v>793</v>
      </c>
      <c r="C727" s="4"/>
      <c r="D727" s="5" t="n">
        <v>925.4713</v>
      </c>
      <c r="E727" s="5"/>
      <c r="F727" s="5" t="n">
        <v>0.00507065374271757</v>
      </c>
      <c r="G727" s="5" t="n">
        <v>1.3972</v>
      </c>
      <c r="H727" s="2" t="n">
        <f aca="false">D727*F727</f>
        <v>4.6927445111227</v>
      </c>
      <c r="I727" s="2" t="n">
        <f aca="false">IF(G727="","",D727*1000000/Inputs!$B$4^2*Inputs!$B$5/G727)</f>
        <v>3.36600147027052</v>
      </c>
      <c r="J727" s="2" t="n">
        <f aca="false">IF(C727="A",Inputs!$B$7,IF(C727="B",Inputs!$B$8,IF(C727="C",Inputs!$B$9,0)))</f>
        <v>0</v>
      </c>
      <c r="K727" s="2" t="n">
        <f aca="false">IF(AND(E727&lt;&gt;"",G727&lt;&gt;"",J727&gt;0),IF(I727&gt;=Inputs!$B$6,1,0),0)</f>
        <v>0</v>
      </c>
      <c r="L727" s="5" t="n">
        <v>0</v>
      </c>
      <c r="M727" s="5" t="n">
        <v>925.4713</v>
      </c>
      <c r="N727" s="5" t="n">
        <v>4.694</v>
      </c>
      <c r="O727" s="4" t="s">
        <v>64</v>
      </c>
      <c r="P727" s="2" t="n">
        <f aca="false">IF(K727=1,J727/G727^2,0)</f>
        <v>0</v>
      </c>
      <c r="Q727" s="2" t="n">
        <f aca="false">IF(K727=1,((E727-Result!$B$7*D727)/G727)^2,0)</f>
        <v>0</v>
      </c>
    </row>
    <row r="728" customFormat="false" ht="15" hidden="false" customHeight="false" outlineLevel="0" collapsed="false">
      <c r="A728" s="4" t="s">
        <v>38</v>
      </c>
      <c r="B728" s="4" t="s">
        <v>794</v>
      </c>
      <c r="C728" s="4"/>
      <c r="D728" s="5" t="n">
        <v>170.4971</v>
      </c>
      <c r="E728" s="5"/>
      <c r="F728" s="5" t="n">
        <v>0.00507074413978124</v>
      </c>
      <c r="G728" s="5" t="n">
        <v>1.3972</v>
      </c>
      <c r="H728" s="2" t="n">
        <f aca="false">D728*F728</f>
        <v>0.864547170674696</v>
      </c>
      <c r="I728" s="2" t="n">
        <f aca="false">IF(G728="","",D728*1000000/Inputs!$B$4^2*Inputs!$B$5/G728)</f>
        <v>0.620109439673451</v>
      </c>
      <c r="J728" s="2" t="n">
        <f aca="false">IF(C728="A",Inputs!$B$7,IF(C728="B",Inputs!$B$8,IF(C728="C",Inputs!$B$9,0)))</f>
        <v>0</v>
      </c>
      <c r="K728" s="2" t="n">
        <f aca="false">IF(AND(E728&lt;&gt;"",G728&lt;&gt;"",J728&gt;0),IF(I728&gt;=Inputs!$B$6,1,0),0)</f>
        <v>0</v>
      </c>
      <c r="L728" s="5" t="n">
        <v>0</v>
      </c>
      <c r="M728" s="5" t="n">
        <v>170.4971</v>
      </c>
      <c r="N728" s="5" t="n">
        <v>0.865</v>
      </c>
      <c r="O728" s="4" t="s">
        <v>64</v>
      </c>
      <c r="P728" s="2" t="n">
        <f aca="false">IF(K728=1,J728/G728^2,0)</f>
        <v>0</v>
      </c>
      <c r="Q728" s="2" t="n">
        <f aca="false">IF(K728=1,((E728-Result!$B$7*D728)/G728)^2,0)</f>
        <v>0</v>
      </c>
    </row>
    <row r="729" customFormat="false" ht="15" hidden="false" customHeight="false" outlineLevel="0" collapsed="false">
      <c r="A729" s="4" t="s">
        <v>38</v>
      </c>
      <c r="B729" s="4" t="s">
        <v>795</v>
      </c>
      <c r="C729" s="4"/>
      <c r="D729" s="5" t="n">
        <v>262.511</v>
      </c>
      <c r="E729" s="5"/>
      <c r="F729" s="5" t="n">
        <v>0.00507060248462922</v>
      </c>
      <c r="G729" s="5" t="n">
        <v>1.3972</v>
      </c>
      <c r="H729" s="2" t="n">
        <f aca="false">D729*F729</f>
        <v>1.3310889288425</v>
      </c>
      <c r="I729" s="2" t="n">
        <f aca="false">IF(G729="","",D729*1000000/Inputs!$B$4^2*Inputs!$B$5/G729)</f>
        <v>0.954770193264972</v>
      </c>
      <c r="J729" s="2" t="n">
        <f aca="false">IF(C729="A",Inputs!$B$7,IF(C729="B",Inputs!$B$8,IF(C729="C",Inputs!$B$9,0)))</f>
        <v>0</v>
      </c>
      <c r="K729" s="2" t="n">
        <f aca="false">IF(AND(E729&lt;&gt;"",G729&lt;&gt;"",J729&gt;0),IF(I729&gt;=Inputs!$B$6,1,0),0)</f>
        <v>0</v>
      </c>
      <c r="L729" s="5" t="n">
        <v>0</v>
      </c>
      <c r="M729" s="5" t="n">
        <v>262.511</v>
      </c>
      <c r="N729" s="5" t="n">
        <v>1.331</v>
      </c>
      <c r="O729" s="4" t="s">
        <v>64</v>
      </c>
      <c r="P729" s="2" t="n">
        <f aca="false">IF(K729=1,J729/G729^2,0)</f>
        <v>0</v>
      </c>
      <c r="Q729" s="2" t="n">
        <f aca="false">IF(K729=1,((E729-Result!$B$7*D729)/G729)^2,0)</f>
        <v>0</v>
      </c>
    </row>
    <row r="730" customFormat="false" ht="15" hidden="false" customHeight="false" outlineLevel="0" collapsed="false">
      <c r="A730" s="4" t="s">
        <v>38</v>
      </c>
      <c r="B730" s="4" t="s">
        <v>796</v>
      </c>
      <c r="C730" s="4"/>
      <c r="D730" s="5" t="n">
        <v>200.709</v>
      </c>
      <c r="E730" s="5"/>
      <c r="F730" s="5" t="n">
        <v>0.00507062912822469</v>
      </c>
      <c r="G730" s="5" t="n">
        <v>1.3972</v>
      </c>
      <c r="H730" s="2" t="n">
        <f aca="false">D730*F730</f>
        <v>1.01772090169685</v>
      </c>
      <c r="I730" s="2" t="n">
        <f aca="false">IF(G730="","",D730*1000000/Inputs!$B$4^2*Inputs!$B$5/G730)</f>
        <v>0.729992155452607</v>
      </c>
      <c r="J730" s="2" t="n">
        <f aca="false">IF(C730="A",Inputs!$B$7,IF(C730="B",Inputs!$B$8,IF(C730="C",Inputs!$B$9,0)))</f>
        <v>0</v>
      </c>
      <c r="K730" s="2" t="n">
        <f aca="false">IF(AND(E730&lt;&gt;"",G730&lt;&gt;"",J730&gt;0),IF(I730&gt;=Inputs!$B$6,1,0),0)</f>
        <v>0</v>
      </c>
      <c r="L730" s="5" t="n">
        <v>0</v>
      </c>
      <c r="M730" s="5" t="n">
        <v>200.709</v>
      </c>
      <c r="N730" s="5" t="n">
        <v>1.018</v>
      </c>
      <c r="O730" s="4" t="s">
        <v>64</v>
      </c>
      <c r="P730" s="2" t="n">
        <f aca="false">IF(K730=1,J730/G730^2,0)</f>
        <v>0</v>
      </c>
      <c r="Q730" s="2" t="n">
        <f aca="false">IF(K730=1,((E730-Result!$B$7*D730)/G730)^2,0)</f>
        <v>0</v>
      </c>
    </row>
    <row r="731" customFormat="false" ht="15" hidden="false" customHeight="false" outlineLevel="0" collapsed="false">
      <c r="A731" s="4" t="s">
        <v>38</v>
      </c>
      <c r="B731" s="4" t="s">
        <v>797</v>
      </c>
      <c r="C731" s="4" t="s">
        <v>63</v>
      </c>
      <c r="D731" s="5" t="n">
        <v>350.8</v>
      </c>
      <c r="E731" s="5" t="n">
        <v>-0.311</v>
      </c>
      <c r="F731" s="5" t="n">
        <v>0.00507053446876495</v>
      </c>
      <c r="G731" s="5" t="n">
        <v>1.3972</v>
      </c>
      <c r="H731" s="2" t="n">
        <f aca="false">D731*F731</f>
        <v>1.77874349164274</v>
      </c>
      <c r="I731" s="2" t="n">
        <f aca="false">IF(G731="","",D731*1000000/Inputs!$B$4^2*Inputs!$B$5/G731)</f>
        <v>1.27588323459723</v>
      </c>
      <c r="J731" s="2" t="n">
        <f aca="false">IF(C731="A",Inputs!$B$7,IF(C731="B",Inputs!$B$8,IF(C731="C",Inputs!$B$9,0)))</f>
        <v>1</v>
      </c>
      <c r="K731" s="2" t="n">
        <f aca="false">IF(AND(E731&lt;&gt;"",G731&lt;&gt;"",J731&gt;0),IF(I731&gt;=Inputs!$B$6,1,0),0)</f>
        <v>0</v>
      </c>
      <c r="L731" s="5" t="n">
        <v>0</v>
      </c>
      <c r="M731" s="5" t="n">
        <v>350.7936</v>
      </c>
      <c r="N731" s="5" t="n">
        <v>1.779</v>
      </c>
      <c r="O731" s="4" t="s">
        <v>64</v>
      </c>
      <c r="P731" s="2" t="n">
        <f aca="false">IF(K731=1,J731/G731^2,0)</f>
        <v>0</v>
      </c>
      <c r="Q731" s="2" t="n">
        <f aca="false">IF(K731=1,((E731-Result!$B$7*D731)/G731)^2,0)</f>
        <v>0</v>
      </c>
    </row>
    <row r="732" customFormat="false" ht="15" hidden="false" customHeight="false" outlineLevel="0" collapsed="false">
      <c r="A732" s="4" t="s">
        <v>38</v>
      </c>
      <c r="B732" s="4" t="s">
        <v>798</v>
      </c>
      <c r="C732" s="4"/>
      <c r="D732" s="5" t="n">
        <v>288.9916</v>
      </c>
      <c r="E732" s="5"/>
      <c r="F732" s="5" t="n">
        <v>0.0050705387300349</v>
      </c>
      <c r="G732" s="5" t="n">
        <v>1.3972</v>
      </c>
      <c r="H732" s="2" t="n">
        <f aca="false">D732*F732</f>
        <v>1.46534310045475</v>
      </c>
      <c r="I732" s="2" t="n">
        <f aca="false">IF(G732="","",D732*1000000/Inputs!$B$4^2*Inputs!$B$5/G732)</f>
        <v>1.05108191955367</v>
      </c>
      <c r="J732" s="2" t="n">
        <f aca="false">IF(C732="A",Inputs!$B$7,IF(C732="B",Inputs!$B$8,IF(C732="C",Inputs!$B$9,0)))</f>
        <v>0</v>
      </c>
      <c r="K732" s="2" t="n">
        <f aca="false">IF(AND(E732&lt;&gt;"",G732&lt;&gt;"",J732&gt;0),IF(I732&gt;=Inputs!$B$6,1,0),0)</f>
        <v>0</v>
      </c>
      <c r="L732" s="5" t="n">
        <v>0</v>
      </c>
      <c r="M732" s="5" t="n">
        <v>288.9916</v>
      </c>
      <c r="N732" s="5" t="n">
        <v>1.466</v>
      </c>
      <c r="O732" s="4" t="s">
        <v>64</v>
      </c>
      <c r="P732" s="2" t="n">
        <f aca="false">IF(K732=1,J732/G732^2,0)</f>
        <v>0</v>
      </c>
      <c r="Q732" s="2" t="n">
        <f aca="false">IF(K732=1,((E732-Result!$B$7*D732)/G732)^2,0)</f>
        <v>0</v>
      </c>
    </row>
    <row r="733" customFormat="false" ht="15" hidden="false" customHeight="false" outlineLevel="0" collapsed="false">
      <c r="A733" s="4" t="s">
        <v>38</v>
      </c>
      <c r="B733" s="4" t="s">
        <v>799</v>
      </c>
      <c r="C733" s="4"/>
      <c r="D733" s="5" t="n">
        <v>785.3929</v>
      </c>
      <c r="E733" s="5"/>
      <c r="F733" s="5" t="n">
        <v>0.00507045740285323</v>
      </c>
      <c r="G733" s="5" t="n">
        <v>1.3972</v>
      </c>
      <c r="H733" s="2" t="n">
        <f aca="false">D733*F733</f>
        <v>3.98230124395336</v>
      </c>
      <c r="I733" s="2" t="n">
        <f aca="false">IF(G733="","",D733*1000000/Inputs!$B$4^2*Inputs!$B$5/G733)</f>
        <v>2.85652689190905</v>
      </c>
      <c r="J733" s="2" t="n">
        <f aca="false">IF(C733="A",Inputs!$B$7,IF(C733="B",Inputs!$B$8,IF(C733="C",Inputs!$B$9,0)))</f>
        <v>0</v>
      </c>
      <c r="K733" s="2" t="n">
        <f aca="false">IF(AND(E733&lt;&gt;"",G733&lt;&gt;"",J733&gt;0),IF(I733&gt;=Inputs!$B$6,1,0),0)</f>
        <v>0</v>
      </c>
      <c r="L733" s="5" t="n">
        <v>0</v>
      </c>
      <c r="M733" s="5" t="n">
        <v>785.3929</v>
      </c>
      <c r="N733" s="5" t="n">
        <v>3.983</v>
      </c>
      <c r="O733" s="4" t="s">
        <v>64</v>
      </c>
      <c r="P733" s="2" t="n">
        <f aca="false">IF(K733=1,J733/G733^2,0)</f>
        <v>0</v>
      </c>
      <c r="Q733" s="2" t="n">
        <f aca="false">IF(K733=1,((E733-Result!$B$7*D733)/G733)^2,0)</f>
        <v>0</v>
      </c>
    </row>
    <row r="734" customFormat="false" ht="15" hidden="false" customHeight="false" outlineLevel="0" collapsed="false">
      <c r="A734" s="4" t="s">
        <v>38</v>
      </c>
      <c r="B734" s="4" t="s">
        <v>800</v>
      </c>
      <c r="C734" s="4"/>
      <c r="D734" s="5" t="n">
        <v>447.6237</v>
      </c>
      <c r="E734" s="5"/>
      <c r="F734" s="5" t="n">
        <v>0.00507054780121704</v>
      </c>
      <c r="G734" s="5" t="n">
        <v>1.3972</v>
      </c>
      <c r="H734" s="2" t="n">
        <f aca="false">D734*F734</f>
        <v>2.26969736780764</v>
      </c>
      <c r="I734" s="2" t="n">
        <f aca="false">IF(G734="","",D734*1000000/Inputs!$B$4^2*Inputs!$B$5/G734)</f>
        <v>1.62803755484144</v>
      </c>
      <c r="J734" s="2" t="n">
        <f aca="false">IF(C734="A",Inputs!$B$7,IF(C734="B",Inputs!$B$8,IF(C734="C",Inputs!$B$9,0)))</f>
        <v>0</v>
      </c>
      <c r="K734" s="2" t="n">
        <f aca="false">IF(AND(E734&lt;&gt;"",G734&lt;&gt;"",J734&gt;0),IF(I734&gt;=Inputs!$B$6,1,0),0)</f>
        <v>0</v>
      </c>
      <c r="L734" s="5" t="n">
        <v>0</v>
      </c>
      <c r="M734" s="5" t="n">
        <v>447.6237</v>
      </c>
      <c r="N734" s="5" t="n">
        <v>2.27</v>
      </c>
      <c r="O734" s="4" t="s">
        <v>64</v>
      </c>
      <c r="P734" s="2" t="n">
        <f aca="false">IF(K734=1,J734/G734^2,0)</f>
        <v>0</v>
      </c>
      <c r="Q734" s="2" t="n">
        <f aca="false">IF(K734=1,((E734-Result!$B$7*D734)/G734)^2,0)</f>
        <v>0</v>
      </c>
    </row>
    <row r="735" customFormat="false" ht="15" hidden="false" customHeight="false" outlineLevel="0" collapsed="false">
      <c r="A735" s="4" t="s">
        <v>38</v>
      </c>
      <c r="B735" s="4" t="s">
        <v>801</v>
      </c>
      <c r="C735" s="4" t="s">
        <v>63</v>
      </c>
      <c r="D735" s="5" t="n">
        <v>600.2905</v>
      </c>
      <c r="E735" s="5" t="n">
        <v>3.735</v>
      </c>
      <c r="F735" s="5" t="n">
        <v>0.00507045314158921</v>
      </c>
      <c r="G735" s="5" t="n">
        <v>1.3972</v>
      </c>
      <c r="H735" s="2" t="n">
        <f aca="false">D735*F735</f>
        <v>3.04374485159116</v>
      </c>
      <c r="I735" s="2" t="n">
        <f aca="false">IF(G735="","",D735*1000000/Inputs!$B$4^2*Inputs!$B$5/G735)</f>
        <v>2.18329699212653</v>
      </c>
      <c r="J735" s="2" t="n">
        <f aca="false">IF(C735="A",Inputs!$B$7,IF(C735="B",Inputs!$B$8,IF(C735="C",Inputs!$B$9,0)))</f>
        <v>1</v>
      </c>
      <c r="K735" s="2" t="n">
        <f aca="false">IF(AND(E735&lt;&gt;"",G735&lt;&gt;"",J735&gt;0),IF(I735&gt;=Inputs!$B$6,1,0),0)</f>
        <v>1</v>
      </c>
      <c r="L735" s="5" t="n">
        <v>1</v>
      </c>
      <c r="M735" s="5" t="n">
        <v>600.2803</v>
      </c>
      <c r="N735" s="5" t="n">
        <v>3.044</v>
      </c>
      <c r="O735" s="4" t="s">
        <v>64</v>
      </c>
      <c r="P735" s="2" t="n">
        <f aca="false">IF(K735=1,J735/G735^2,0)</f>
        <v>0.512251036775608</v>
      </c>
      <c r="Q735" s="2" t="n">
        <f aca="false">IF(K735=1,((E735-Result!$B$7*D735)/G735)^2,0)</f>
        <v>0.251960935758999</v>
      </c>
    </row>
    <row r="736" customFormat="false" ht="15" hidden="false" customHeight="false" outlineLevel="0" collapsed="false">
      <c r="A736" s="4" t="s">
        <v>38</v>
      </c>
      <c r="B736" s="4" t="s">
        <v>802</v>
      </c>
      <c r="C736" s="4"/>
      <c r="D736" s="5" t="n">
        <v>107.7158</v>
      </c>
      <c r="E736" s="5"/>
      <c r="F736" s="5" t="n">
        <v>0.0050704840465402</v>
      </c>
      <c r="G736" s="5" t="n">
        <v>1.3972</v>
      </c>
      <c r="H736" s="2" t="n">
        <f aca="false">D736*F736</f>
        <v>0.546171245460314</v>
      </c>
      <c r="I736" s="2" t="n">
        <f aca="false">IF(G736="","",D736*1000000/Inputs!$B$4^2*Inputs!$B$5/G736)</f>
        <v>0.391769621782291</v>
      </c>
      <c r="J736" s="2" t="n">
        <f aca="false">IF(C736="A",Inputs!$B$7,IF(C736="B",Inputs!$B$8,IF(C736="C",Inputs!$B$9,0)))</f>
        <v>0</v>
      </c>
      <c r="K736" s="2" t="n">
        <f aca="false">IF(AND(E736&lt;&gt;"",G736&lt;&gt;"",J736&gt;0),IF(I736&gt;=Inputs!$B$6,1,0),0)</f>
        <v>0</v>
      </c>
      <c r="L736" s="5" t="n">
        <v>0</v>
      </c>
      <c r="M736" s="5" t="n">
        <v>107.7158</v>
      </c>
      <c r="N736" s="5" t="n">
        <v>0.546</v>
      </c>
      <c r="O736" s="4" t="s">
        <v>64</v>
      </c>
      <c r="P736" s="2" t="n">
        <f aca="false">IF(K736=1,J736/G736^2,0)</f>
        <v>0</v>
      </c>
      <c r="Q736" s="2" t="n">
        <f aca="false">IF(K736=1,((E736-Result!$B$7*D736)/G736)^2,0)</f>
        <v>0</v>
      </c>
    </row>
    <row r="737" customFormat="false" ht="15" hidden="false" customHeight="false" outlineLevel="0" collapsed="false">
      <c r="A737" s="4" t="s">
        <v>38</v>
      </c>
      <c r="B737" s="4" t="s">
        <v>803</v>
      </c>
      <c r="C737" s="4" t="s">
        <v>63</v>
      </c>
      <c r="D737" s="5" t="n">
        <v>139.2011</v>
      </c>
      <c r="E737" s="5" t="n">
        <v>-0.094</v>
      </c>
      <c r="F737" s="5" t="n">
        <v>0.00507047978527156</v>
      </c>
      <c r="G737" s="5" t="n">
        <v>1.3972</v>
      </c>
      <c r="H737" s="2" t="n">
        <f aca="false">D737*F737</f>
        <v>0.705816363637564</v>
      </c>
      <c r="I737" s="2" t="n">
        <f aca="false">IF(G737="","",D737*1000000/Inputs!$B$4^2*Inputs!$B$5/G737)</f>
        <v>0.506283779154766</v>
      </c>
      <c r="J737" s="2" t="n">
        <f aca="false">IF(C737="A",Inputs!$B$7,IF(C737="B",Inputs!$B$8,IF(C737="C",Inputs!$B$9,0)))</f>
        <v>1</v>
      </c>
      <c r="K737" s="2" t="n">
        <f aca="false">IF(AND(E737&lt;&gt;"",G737&lt;&gt;"",J737&gt;0),IF(I737&gt;=Inputs!$B$6,1,0),0)</f>
        <v>0</v>
      </c>
      <c r="L737" s="5" t="n">
        <v>1</v>
      </c>
      <c r="M737" s="5" t="n">
        <v>139.1989</v>
      </c>
      <c r="N737" s="5" t="n">
        <v>0.706</v>
      </c>
      <c r="O737" s="4" t="s">
        <v>64</v>
      </c>
      <c r="P737" s="2" t="n">
        <f aca="false">IF(K737=1,J737/G737^2,0)</f>
        <v>0</v>
      </c>
      <c r="Q737" s="2" t="n">
        <f aca="false">IF(K737=1,((E737-Result!$B$7*D737)/G737)^2,0)</f>
        <v>0</v>
      </c>
    </row>
    <row r="738" customFormat="false" ht="15" hidden="false" customHeight="false" outlineLevel="0" collapsed="false">
      <c r="A738" s="4" t="s">
        <v>38</v>
      </c>
      <c r="B738" s="4" t="s">
        <v>804</v>
      </c>
      <c r="C738" s="4" t="s">
        <v>63</v>
      </c>
      <c r="D738" s="5" t="n">
        <v>388.6926</v>
      </c>
      <c r="E738" s="5" t="n">
        <v>3.952</v>
      </c>
      <c r="F738" s="5" t="n">
        <v>0.00507038938715803</v>
      </c>
      <c r="G738" s="5" t="n">
        <v>1.3972</v>
      </c>
      <c r="H738" s="2" t="n">
        <f aca="false">D738*F738</f>
        <v>1.97082283390686</v>
      </c>
      <c r="I738" s="2" t="n">
        <f aca="false">IF(G738="","",D738*1000000/Inputs!$B$4^2*Inputs!$B$5/G738)</f>
        <v>1.41370117375144</v>
      </c>
      <c r="J738" s="2" t="n">
        <f aca="false">IF(C738="A",Inputs!$B$7,IF(C738="B",Inputs!$B$8,IF(C738="C",Inputs!$B$9,0)))</f>
        <v>1</v>
      </c>
      <c r="K738" s="2" t="n">
        <f aca="false">IF(AND(E738&lt;&gt;"",G738&lt;&gt;"",J738&gt;0),IF(I738&gt;=Inputs!$B$6,1,0),0)</f>
        <v>0</v>
      </c>
      <c r="L738" s="5" t="n">
        <v>0</v>
      </c>
      <c r="M738" s="5" t="n">
        <v>388.6856</v>
      </c>
      <c r="N738" s="5" t="n">
        <v>1.971</v>
      </c>
      <c r="O738" s="4" t="s">
        <v>64</v>
      </c>
      <c r="P738" s="2" t="n">
        <f aca="false">IF(K738=1,J738/G738^2,0)</f>
        <v>0</v>
      </c>
      <c r="Q738" s="2" t="n">
        <f aca="false">IF(K738=1,((E738-Result!$B$7*D738)/G738)^2,0)</f>
        <v>0</v>
      </c>
    </row>
    <row r="739" customFormat="false" ht="15" hidden="false" customHeight="false" outlineLevel="0" collapsed="false">
      <c r="A739" s="4" t="s">
        <v>38</v>
      </c>
      <c r="B739" s="4" t="s">
        <v>805</v>
      </c>
      <c r="C739" s="4" t="s">
        <v>63</v>
      </c>
      <c r="D739" s="5" t="n">
        <v>203.3921</v>
      </c>
      <c r="E739" s="5" t="n">
        <v>-0.499</v>
      </c>
      <c r="F739" s="5" t="n">
        <v>0.00507030868470998</v>
      </c>
      <c r="G739" s="5" t="n">
        <v>1.3972</v>
      </c>
      <c r="H739" s="2" t="n">
        <f aca="false">D739*F739</f>
        <v>1.0312607310314</v>
      </c>
      <c r="I739" s="2" t="n">
        <f aca="false">IF(G739="","",D739*1000000/Inputs!$B$4^2*Inputs!$B$5/G739)</f>
        <v>0.739750770922242</v>
      </c>
      <c r="J739" s="2" t="n">
        <f aca="false">IF(C739="A",Inputs!$B$7,IF(C739="B",Inputs!$B$8,IF(C739="C",Inputs!$B$9,0)))</f>
        <v>1</v>
      </c>
      <c r="K739" s="2" t="n">
        <f aca="false">IF(AND(E739&lt;&gt;"",G739&lt;&gt;"",J739&gt;0),IF(I739&gt;=Inputs!$B$6,1,0),0)</f>
        <v>0</v>
      </c>
      <c r="L739" s="5" t="n">
        <v>0</v>
      </c>
      <c r="M739" s="5" t="n">
        <v>203.3884</v>
      </c>
      <c r="N739" s="5" t="n">
        <v>1.032</v>
      </c>
      <c r="O739" s="4" t="s">
        <v>64</v>
      </c>
      <c r="P739" s="2" t="n">
        <f aca="false">IF(K739=1,J739/G739^2,0)</f>
        <v>0</v>
      </c>
      <c r="Q739" s="2" t="n">
        <f aca="false">IF(K739=1,((E739-Result!$B$7*D739)/G739)^2,0)</f>
        <v>0</v>
      </c>
    </row>
    <row r="740" customFormat="false" ht="15" hidden="false" customHeight="false" outlineLevel="0" collapsed="false">
      <c r="A740" s="4" t="s">
        <v>38</v>
      </c>
      <c r="B740" s="4" t="s">
        <v>806</v>
      </c>
      <c r="C740" s="4" t="s">
        <v>63</v>
      </c>
      <c r="D740" s="5" t="n">
        <v>301.4209</v>
      </c>
      <c r="E740" s="5" t="n">
        <v>0.978</v>
      </c>
      <c r="F740" s="5" t="n">
        <v>0.00507025824903546</v>
      </c>
      <c r="G740" s="5" t="n">
        <v>1.3972</v>
      </c>
      <c r="H740" s="2" t="n">
        <f aca="false">D740*F740</f>
        <v>1.52828180465669</v>
      </c>
      <c r="I740" s="2" t="n">
        <f aca="false">IF(G740="","",D740*1000000/Inputs!$B$4^2*Inputs!$B$5/G740)</f>
        <v>1.09628812105817</v>
      </c>
      <c r="J740" s="2" t="n">
        <f aca="false">IF(C740="A",Inputs!$B$7,IF(C740="B",Inputs!$B$8,IF(C740="C",Inputs!$B$9,0)))</f>
        <v>1</v>
      </c>
      <c r="K740" s="2" t="n">
        <f aca="false">IF(AND(E740&lt;&gt;"",G740&lt;&gt;"",J740&gt;0),IF(I740&gt;=Inputs!$B$6,1,0),0)</f>
        <v>0</v>
      </c>
      <c r="L740" s="5" t="n">
        <v>1</v>
      </c>
      <c r="M740" s="5" t="n">
        <v>301.4155</v>
      </c>
      <c r="N740" s="5" t="n">
        <v>1.529</v>
      </c>
      <c r="O740" s="4" t="s">
        <v>64</v>
      </c>
      <c r="P740" s="2" t="n">
        <f aca="false">IF(K740=1,J740/G740^2,0)</f>
        <v>0</v>
      </c>
      <c r="Q740" s="2" t="n">
        <f aca="false">IF(K740=1,((E740-Result!$B$7*D740)/G740)^2,0)</f>
        <v>0</v>
      </c>
    </row>
    <row r="741" customFormat="false" ht="15" hidden="false" customHeight="false" outlineLevel="0" collapsed="false">
      <c r="A741" s="4" t="s">
        <v>38</v>
      </c>
      <c r="B741" s="4" t="s">
        <v>807</v>
      </c>
      <c r="C741" s="4" t="s">
        <v>63</v>
      </c>
      <c r="D741" s="5" t="n">
        <v>188.6304</v>
      </c>
      <c r="E741" s="5" t="n">
        <v>0.451</v>
      </c>
      <c r="F741" s="5" t="n">
        <v>0.00507020419120501</v>
      </c>
      <c r="G741" s="5" t="n">
        <v>1.3972</v>
      </c>
      <c r="H741" s="2" t="n">
        <f aca="false">D741*F741</f>
        <v>0.956394644668677</v>
      </c>
      <c r="I741" s="2" t="n">
        <f aca="false">IF(G741="","",D741*1000000/Inputs!$B$4^2*Inputs!$B$5/G741)</f>
        <v>0.686061473475965</v>
      </c>
      <c r="J741" s="2" t="n">
        <f aca="false">IF(C741="A",Inputs!$B$7,IF(C741="B",Inputs!$B$8,IF(C741="C",Inputs!$B$9,0)))</f>
        <v>1</v>
      </c>
      <c r="K741" s="2" t="n">
        <f aca="false">IF(AND(E741&lt;&gt;"",G741&lt;&gt;"",J741&gt;0),IF(I741&gt;=Inputs!$B$6,1,0),0)</f>
        <v>0</v>
      </c>
      <c r="L741" s="5" t="n">
        <v>0</v>
      </c>
      <c r="M741" s="5" t="n">
        <v>188.6267</v>
      </c>
      <c r="N741" s="5" t="n">
        <v>0.957</v>
      </c>
      <c r="O741" s="4" t="s">
        <v>64</v>
      </c>
      <c r="P741" s="2" t="n">
        <f aca="false">IF(K741=1,J741/G741^2,0)</f>
        <v>0</v>
      </c>
      <c r="Q741" s="2" t="n">
        <f aca="false">IF(K741=1,((E741-Result!$B$7*D741)/G741)^2,0)</f>
        <v>0</v>
      </c>
    </row>
    <row r="742" customFormat="false" ht="15" hidden="false" customHeight="false" outlineLevel="0" collapsed="false">
      <c r="A742" s="4" t="s">
        <v>38</v>
      </c>
      <c r="B742" s="4" t="s">
        <v>808</v>
      </c>
      <c r="C742" s="4" t="s">
        <v>63</v>
      </c>
      <c r="D742" s="5" t="n">
        <v>90.6011</v>
      </c>
      <c r="E742" s="5" t="n">
        <v>-1.026</v>
      </c>
      <c r="F742" s="5" t="n">
        <v>0.00507025887279514</v>
      </c>
      <c r="G742" s="5" t="n">
        <v>1.3972</v>
      </c>
      <c r="H742" s="2" t="n">
        <f aca="false">D742*F742</f>
        <v>0.45937103116</v>
      </c>
      <c r="I742" s="2" t="n">
        <f aca="false">IF(G742="","",D742*1000000/Inputs!$B$4^2*Inputs!$B$5/G742)</f>
        <v>0.329522304806347</v>
      </c>
      <c r="J742" s="2" t="n">
        <f aca="false">IF(C742="A",Inputs!$B$7,IF(C742="B",Inputs!$B$8,IF(C742="C",Inputs!$B$9,0)))</f>
        <v>1</v>
      </c>
      <c r="K742" s="2" t="n">
        <f aca="false">IF(AND(E742&lt;&gt;"",G742&lt;&gt;"",J742&gt;0),IF(I742&gt;=Inputs!$B$6,1,0),0)</f>
        <v>0</v>
      </c>
      <c r="L742" s="5" t="n">
        <v>1</v>
      </c>
      <c r="M742" s="5" t="n">
        <v>90.5995</v>
      </c>
      <c r="N742" s="5" t="n">
        <v>0.459</v>
      </c>
      <c r="O742" s="4" t="s">
        <v>64</v>
      </c>
      <c r="P742" s="2" t="n">
        <f aca="false">IF(K742=1,J742/G742^2,0)</f>
        <v>0</v>
      </c>
      <c r="Q742" s="2" t="n">
        <f aca="false">IF(K742=1,((E742-Result!$B$7*D742)/G742)^2,0)</f>
        <v>0</v>
      </c>
    </row>
    <row r="743" customFormat="false" ht="15" hidden="false" customHeight="false" outlineLevel="0" collapsed="false">
      <c r="A743" s="4" t="s">
        <v>38</v>
      </c>
      <c r="B743" s="4" t="s">
        <v>809</v>
      </c>
      <c r="C743" s="4" t="s">
        <v>63</v>
      </c>
      <c r="D743" s="5" t="n">
        <v>69.208</v>
      </c>
      <c r="E743" s="5" t="n">
        <v>1.592</v>
      </c>
      <c r="F743" s="5" t="n">
        <v>0.0050701798546016</v>
      </c>
      <c r="G743" s="5" t="n">
        <v>1.3972</v>
      </c>
      <c r="H743" s="2" t="n">
        <f aca="false">D743*F743</f>
        <v>0.350897007377267</v>
      </c>
      <c r="I743" s="2" t="n">
        <f aca="false">IF(G743="","",D743*1000000/Inputs!$B$4^2*Inputs!$B$5/G743)</f>
        <v>0.251714158779945</v>
      </c>
      <c r="J743" s="2" t="n">
        <f aca="false">IF(C743="A",Inputs!$B$7,IF(C743="B",Inputs!$B$8,IF(C743="C",Inputs!$B$9,0)))</f>
        <v>1</v>
      </c>
      <c r="K743" s="2" t="n">
        <f aca="false">IF(AND(E743&lt;&gt;"",G743&lt;&gt;"",J743&gt;0),IF(I743&gt;=Inputs!$B$6,1,0),0)</f>
        <v>0</v>
      </c>
      <c r="L743" s="5" t="n">
        <v>0</v>
      </c>
      <c r="M743" s="5" t="n">
        <v>69.2066</v>
      </c>
      <c r="N743" s="5" t="n">
        <v>0.351</v>
      </c>
      <c r="O743" s="4" t="s">
        <v>64</v>
      </c>
      <c r="P743" s="2" t="n">
        <f aca="false">IF(K743=1,J743/G743^2,0)</f>
        <v>0</v>
      </c>
      <c r="Q743" s="2" t="n">
        <f aca="false">IF(K743=1,((E743-Result!$B$7*D743)/G743)^2,0)</f>
        <v>0</v>
      </c>
    </row>
    <row r="744" customFormat="false" ht="15" hidden="false" customHeight="false" outlineLevel="0" collapsed="false">
      <c r="A744" s="4" t="s">
        <v>38</v>
      </c>
      <c r="B744" s="4" t="s">
        <v>810</v>
      </c>
      <c r="C744" s="4" t="s">
        <v>63</v>
      </c>
      <c r="D744" s="5" t="n">
        <v>2035.1838</v>
      </c>
      <c r="E744" s="5" t="n">
        <v>9.87</v>
      </c>
      <c r="F744" s="5" t="n">
        <v>0.00507102494202327</v>
      </c>
      <c r="G744" s="5" t="n">
        <v>1.3972</v>
      </c>
      <c r="H744" s="2" t="n">
        <f aca="false">D744*F744</f>
        <v>10.3204678114017</v>
      </c>
      <c r="I744" s="2" t="n">
        <f aca="false">IF(G744="","",D744*1000000/Inputs!$B$4^2*Inputs!$B$5/G744)</f>
        <v>7.40210059790157</v>
      </c>
      <c r="J744" s="2" t="n">
        <f aca="false">IF(C744="A",Inputs!$B$7,IF(C744="B",Inputs!$B$8,IF(C744="C",Inputs!$B$9,0)))</f>
        <v>1</v>
      </c>
      <c r="K744" s="2" t="n">
        <f aca="false">IF(AND(E744&lt;&gt;"",G744&lt;&gt;"",J744&gt;0),IF(I744&gt;=Inputs!$B$6,1,0),0)</f>
        <v>1</v>
      </c>
      <c r="L744" s="5" t="n">
        <v>0</v>
      </c>
      <c r="M744" s="5" t="n">
        <v>2035.1873</v>
      </c>
      <c r="N744" s="5" t="n">
        <v>10.32</v>
      </c>
      <c r="O744" s="4" t="s">
        <v>64</v>
      </c>
      <c r="P744" s="2" t="n">
        <f aca="false">IF(K744=1,J744/G744^2,0)</f>
        <v>0.512251036775608</v>
      </c>
      <c r="Q744" s="2" t="n">
        <f aca="false">IF(K744=1,((E744-Result!$B$7*D744)/G744)^2,0)</f>
        <v>0.0882785056680934</v>
      </c>
    </row>
    <row r="745" customFormat="false" ht="15" hidden="false" customHeight="false" outlineLevel="0" collapsed="false">
      <c r="A745" s="4" t="s">
        <v>38</v>
      </c>
      <c r="B745" s="4" t="s">
        <v>811</v>
      </c>
      <c r="C745" s="4" t="s">
        <v>63</v>
      </c>
      <c r="D745" s="5" t="n">
        <v>2244.0867</v>
      </c>
      <c r="E745" s="5" t="n">
        <v>11.84</v>
      </c>
      <c r="F745" s="5" t="n">
        <v>0.00507084558761543</v>
      </c>
      <c r="G745" s="5" t="n">
        <v>1.3972</v>
      </c>
      <c r="H745" s="2" t="n">
        <f aca="false">D745*F745</f>
        <v>11.3794171409215</v>
      </c>
      <c r="I745" s="2" t="n">
        <f aca="false">IF(G745="","",D745*1000000/Inputs!$B$4^2*Inputs!$B$5/G745)</f>
        <v>8.16189451970528</v>
      </c>
      <c r="J745" s="2" t="n">
        <f aca="false">IF(C745="A",Inputs!$B$7,IF(C745="B",Inputs!$B$8,IF(C745="C",Inputs!$B$9,0)))</f>
        <v>1</v>
      </c>
      <c r="K745" s="2" t="n">
        <f aca="false">IF(AND(E745&lt;&gt;"",G745&lt;&gt;"",J745&gt;0),IF(I745&gt;=Inputs!$B$6,1,0),0)</f>
        <v>1</v>
      </c>
      <c r="L745" s="5" t="n">
        <v>1</v>
      </c>
      <c r="M745" s="5" t="n">
        <v>2244.0808</v>
      </c>
      <c r="N745" s="5" t="n">
        <v>11.38</v>
      </c>
      <c r="O745" s="4" t="s">
        <v>64</v>
      </c>
      <c r="P745" s="2" t="n">
        <f aca="false">IF(K745=1,J745/G745^2,0)</f>
        <v>0.512251036775608</v>
      </c>
      <c r="Q745" s="2" t="n">
        <f aca="false">IF(K745=1,((E745-Result!$B$7*D745)/G745)^2,0)</f>
        <v>0.127624345755053</v>
      </c>
    </row>
    <row r="746" customFormat="false" ht="15" hidden="false" customHeight="false" outlineLevel="0" collapsed="false">
      <c r="A746" s="4" t="s">
        <v>38</v>
      </c>
      <c r="B746" s="4" t="s">
        <v>812</v>
      </c>
      <c r="C746" s="4" t="s">
        <v>63</v>
      </c>
      <c r="D746" s="5" t="n">
        <v>1851.5815</v>
      </c>
      <c r="E746" s="5" t="n">
        <v>9.01</v>
      </c>
      <c r="F746" s="5" t="n">
        <v>0.00507110373008379</v>
      </c>
      <c r="G746" s="5" t="n">
        <v>1.3972</v>
      </c>
      <c r="H746" s="2" t="n">
        <f aca="false">D746*F746</f>
        <v>9.38956185120414</v>
      </c>
      <c r="I746" s="2" t="n">
        <f aca="false">IF(G746="","",D746*1000000/Inputs!$B$4^2*Inputs!$B$5/G746)</f>
        <v>6.73432666288592</v>
      </c>
      <c r="J746" s="2" t="n">
        <f aca="false">IF(C746="A",Inputs!$B$7,IF(C746="B",Inputs!$B$8,IF(C746="C",Inputs!$B$9,0)))</f>
        <v>1</v>
      </c>
      <c r="K746" s="2" t="n">
        <f aca="false">IF(AND(E746&lt;&gt;"",G746&lt;&gt;"",J746&gt;0),IF(I746&gt;=Inputs!$B$6,1,0),0)</f>
        <v>1</v>
      </c>
      <c r="L746" s="5" t="n">
        <v>1</v>
      </c>
      <c r="M746" s="5" t="n">
        <v>1851.5731</v>
      </c>
      <c r="N746" s="5" t="n">
        <v>9.39</v>
      </c>
      <c r="O746" s="4" t="s">
        <v>64</v>
      </c>
      <c r="P746" s="2" t="n">
        <f aca="false">IF(K746=1,J746/G746^2,0)</f>
        <v>0.512251036775608</v>
      </c>
      <c r="Q746" s="2" t="n">
        <f aca="false">IF(K746=1,((E746-Result!$B$7*D746)/G746)^2,0)</f>
        <v>0.0617748814303781</v>
      </c>
    </row>
    <row r="747" customFormat="false" ht="15" hidden="false" customHeight="false" outlineLevel="0" collapsed="false">
      <c r="A747" s="4" t="s">
        <v>38</v>
      </c>
      <c r="B747" s="4" t="s">
        <v>813</v>
      </c>
      <c r="C747" s="4" t="s">
        <v>63</v>
      </c>
      <c r="D747" s="5" t="n">
        <v>2060.4626</v>
      </c>
      <c r="E747" s="5" t="n">
        <v>10.98</v>
      </c>
      <c r="F747" s="5" t="n">
        <v>0.00507090060899823</v>
      </c>
      <c r="G747" s="5" t="n">
        <v>1.3972</v>
      </c>
      <c r="H747" s="2" t="n">
        <f aca="false">D747*F747</f>
        <v>10.4484010531581</v>
      </c>
      <c r="I747" s="2" t="n">
        <f aca="false">IF(G747="","",D747*1000000/Inputs!$B$4^2*Inputs!$B$5/G747)</f>
        <v>7.49404129662089</v>
      </c>
      <c r="J747" s="2" t="n">
        <f aca="false">IF(C747="A",Inputs!$B$7,IF(C747="B",Inputs!$B$8,IF(C747="C",Inputs!$B$9,0)))</f>
        <v>1</v>
      </c>
      <c r="K747" s="2" t="n">
        <f aca="false">IF(AND(E747&lt;&gt;"",G747&lt;&gt;"",J747&gt;0),IF(I747&gt;=Inputs!$B$6,1,0),0)</f>
        <v>1</v>
      </c>
      <c r="L747" s="5" t="n">
        <v>0</v>
      </c>
      <c r="M747" s="5" t="n">
        <v>2060.4667</v>
      </c>
      <c r="N747" s="5" t="n">
        <v>10.45</v>
      </c>
      <c r="O747" s="4" t="s">
        <v>64</v>
      </c>
      <c r="P747" s="2" t="n">
        <f aca="false">IF(K747=1,J747/G747^2,0)</f>
        <v>0.512251036775608</v>
      </c>
      <c r="Q747" s="2" t="n">
        <f aca="false">IF(K747=1,((E747-Result!$B$7*D747)/G747)^2,0)</f>
        <v>0.16475140555999</v>
      </c>
    </row>
    <row r="748" customFormat="false" ht="15" hidden="false" customHeight="false" outlineLevel="0" collapsed="false">
      <c r="A748" s="4" t="s">
        <v>38</v>
      </c>
      <c r="B748" s="4" t="s">
        <v>814</v>
      </c>
      <c r="C748" s="4" t="s">
        <v>63</v>
      </c>
      <c r="D748" s="5" t="n">
        <v>2379.6559</v>
      </c>
      <c r="E748" s="5" t="n">
        <v>12.16</v>
      </c>
      <c r="F748" s="5" t="n">
        <v>0.00507095446771187</v>
      </c>
      <c r="G748" s="5" t="n">
        <v>1.3972</v>
      </c>
      <c r="H748" s="2" t="n">
        <f aca="false">D748*F748</f>
        <v>12.0671267177219</v>
      </c>
      <c r="I748" s="2" t="n">
        <f aca="false">IF(G748="","",D748*1000000/Inputs!$B$4^2*Inputs!$B$5/G748)</f>
        <v>8.65496883386651</v>
      </c>
      <c r="J748" s="2" t="n">
        <f aca="false">IF(C748="A",Inputs!$B$7,IF(C748="B",Inputs!$B$8,IF(C748="C",Inputs!$B$9,0)))</f>
        <v>1</v>
      </c>
      <c r="K748" s="2" t="n">
        <f aca="false">IF(AND(E748&lt;&gt;"",G748&lt;&gt;"",J748&gt;0),IF(I748&gt;=Inputs!$B$6,1,0),0)</f>
        <v>1</v>
      </c>
      <c r="L748" s="5" t="n">
        <v>1</v>
      </c>
      <c r="M748" s="5" t="n">
        <v>2379.6655</v>
      </c>
      <c r="N748" s="5" t="n">
        <v>12.07</v>
      </c>
      <c r="O748" s="4" t="s">
        <v>64</v>
      </c>
      <c r="P748" s="2" t="n">
        <f aca="false">IF(K748=1,J748/G748^2,0)</f>
        <v>0.512251036775608</v>
      </c>
      <c r="Q748" s="2" t="n">
        <f aca="false">IF(K748=1,((E748-Result!$B$7*D748)/G748)^2,0)</f>
        <v>0.0092010605467313</v>
      </c>
    </row>
    <row r="749" customFormat="false" ht="15" hidden="false" customHeight="false" outlineLevel="0" collapsed="false">
      <c r="A749" s="4" t="s">
        <v>38</v>
      </c>
      <c r="B749" s="4" t="s">
        <v>815</v>
      </c>
      <c r="C749" s="4" t="s">
        <v>63</v>
      </c>
      <c r="D749" s="5" t="n">
        <v>1865.126</v>
      </c>
      <c r="E749" s="5" t="n">
        <v>9.38</v>
      </c>
      <c r="F749" s="5" t="n">
        <v>0.00507118599275483</v>
      </c>
      <c r="G749" s="5" t="n">
        <v>1.3972</v>
      </c>
      <c r="H749" s="2" t="n">
        <f aca="false">D749*F749</f>
        <v>9.45840084592284</v>
      </c>
      <c r="I749" s="2" t="n">
        <f aca="false">IF(G749="","",D749*1000000/Inputs!$B$4^2*Inputs!$B$5/G749)</f>
        <v>6.78358892192527</v>
      </c>
      <c r="J749" s="2" t="n">
        <f aca="false">IF(C749="A",Inputs!$B$7,IF(C749="B",Inputs!$B$8,IF(C749="C",Inputs!$B$9,0)))</f>
        <v>1</v>
      </c>
      <c r="K749" s="2" t="n">
        <f aca="false">IF(AND(E749&lt;&gt;"",G749&lt;&gt;"",J749&gt;0),IF(I749&gt;=Inputs!$B$6,1,0),0)</f>
        <v>1</v>
      </c>
      <c r="L749" s="5" t="n">
        <v>0</v>
      </c>
      <c r="M749" s="5" t="n">
        <v>1865.1207</v>
      </c>
      <c r="N749" s="5" t="n">
        <v>9.46</v>
      </c>
      <c r="O749" s="4" t="s">
        <v>64</v>
      </c>
      <c r="P749" s="2" t="n">
        <f aca="false">IF(K749=1,J749/G749^2,0)</f>
        <v>0.512251036775608</v>
      </c>
      <c r="Q749" s="2" t="n">
        <f aca="false">IF(K749=1,((E749-Result!$B$7*D749)/G749)^2,0)</f>
        <v>0.00107063416605633</v>
      </c>
    </row>
    <row r="750" customFormat="false" ht="15" hidden="false" customHeight="false" outlineLevel="0" collapsed="false">
      <c r="A750" s="4" t="s">
        <v>38</v>
      </c>
      <c r="B750" s="4" t="s">
        <v>816</v>
      </c>
      <c r="C750" s="4" t="s">
        <v>63</v>
      </c>
      <c r="D750" s="5" t="n">
        <v>3006.0756</v>
      </c>
      <c r="E750" s="5" t="n">
        <v>14.59</v>
      </c>
      <c r="F750" s="5" t="n">
        <v>0.00507098171761887</v>
      </c>
      <c r="G750" s="5" t="n">
        <v>1.3972</v>
      </c>
      <c r="H750" s="2" t="n">
        <f aca="false">D750*F750</f>
        <v>15.2437544093802</v>
      </c>
      <c r="I750" s="2" t="n">
        <f aca="false">IF(G750="","",D750*1000000/Inputs!$B$4^2*Inputs!$B$5/G750)</f>
        <v>10.9332994868067</v>
      </c>
      <c r="J750" s="2" t="n">
        <f aca="false">IF(C750="A",Inputs!$B$7,IF(C750="B",Inputs!$B$8,IF(C750="C",Inputs!$B$9,0)))</f>
        <v>1</v>
      </c>
      <c r="K750" s="2" t="n">
        <f aca="false">IF(AND(E750&lt;&gt;"",G750&lt;&gt;"",J750&gt;0),IF(I750&gt;=Inputs!$B$6,1,0),0)</f>
        <v>1</v>
      </c>
      <c r="L750" s="5" t="n">
        <v>0</v>
      </c>
      <c r="M750" s="5" t="n">
        <v>3006.0846</v>
      </c>
      <c r="N750" s="5" t="n">
        <v>15.25</v>
      </c>
      <c r="O750" s="4" t="s">
        <v>64</v>
      </c>
      <c r="P750" s="2" t="n">
        <f aca="false">IF(K750=1,J750/G750^2,0)</f>
        <v>0.512251036775608</v>
      </c>
      <c r="Q750" s="2" t="n">
        <f aca="false">IF(K750=1,((E750-Result!$B$7*D750)/G750)^2,0)</f>
        <v>0.18545145048367</v>
      </c>
    </row>
    <row r="751" customFormat="false" ht="15" hidden="false" customHeight="false" outlineLevel="0" collapsed="false">
      <c r="A751" s="4" t="s">
        <v>38</v>
      </c>
      <c r="B751" s="4" t="s">
        <v>817</v>
      </c>
      <c r="C751" s="4" t="s">
        <v>63</v>
      </c>
      <c r="D751" s="5" t="n">
        <v>2491.5314</v>
      </c>
      <c r="E751" s="5" t="n">
        <v>11.81</v>
      </c>
      <c r="F751" s="5" t="n">
        <v>0.00507116106176206</v>
      </c>
      <c r="G751" s="5" t="n">
        <v>1.3972</v>
      </c>
      <c r="H751" s="2" t="n">
        <f aca="false">D751*F751</f>
        <v>12.6349570198375</v>
      </c>
      <c r="I751" s="2" t="n">
        <f aca="false">IF(G751="","",D751*1000000/Inputs!$B$4^2*Inputs!$B$5/G751)</f>
        <v>9.06186756480203</v>
      </c>
      <c r="J751" s="2" t="n">
        <f aca="false">IF(C751="A",Inputs!$B$7,IF(C751="B",Inputs!$B$8,IF(C751="C",Inputs!$B$9,0)))</f>
        <v>1</v>
      </c>
      <c r="K751" s="2" t="n">
        <f aca="false">IF(AND(E751&lt;&gt;"",G751&lt;&gt;"",J751&gt;0),IF(I751&gt;=Inputs!$B$6,1,0),0)</f>
        <v>1</v>
      </c>
      <c r="L751" s="5" t="n">
        <v>0</v>
      </c>
      <c r="M751" s="5" t="n">
        <v>2491.5398</v>
      </c>
      <c r="N751" s="5" t="n">
        <v>12.64</v>
      </c>
      <c r="O751" s="4" t="s">
        <v>64</v>
      </c>
      <c r="P751" s="2" t="n">
        <f aca="false">IF(K751=1,J751/G751^2,0)</f>
        <v>0.512251036775608</v>
      </c>
      <c r="Q751" s="2" t="n">
        <f aca="false">IF(K751=1,((E751-Result!$B$7*D751)/G751)^2,0)</f>
        <v>0.312740123856399</v>
      </c>
    </row>
    <row r="752" customFormat="false" ht="15" hidden="false" customHeight="false" outlineLevel="0" collapsed="false">
      <c r="A752" s="4" t="s">
        <v>38</v>
      </c>
      <c r="B752" s="4" t="s">
        <v>818</v>
      </c>
      <c r="C752" s="4" t="s">
        <v>63</v>
      </c>
      <c r="D752" s="5" t="n">
        <v>4793.1179</v>
      </c>
      <c r="E752" s="5" t="n">
        <v>24.8</v>
      </c>
      <c r="F752" s="5" t="n">
        <v>0.00507120741267812</v>
      </c>
      <c r="G752" s="5" t="n">
        <v>1.3972</v>
      </c>
      <c r="H752" s="2" t="n">
        <f aca="false">D752*F752</f>
        <v>24.3068950243202</v>
      </c>
      <c r="I752" s="2" t="n">
        <f aca="false">IF(G752="","",D752*1000000/Inputs!$B$4^2*Inputs!$B$5/G752)</f>
        <v>17.4328927310657</v>
      </c>
      <c r="J752" s="2" t="n">
        <f aca="false">IF(C752="A",Inputs!$B$7,IF(C752="B",Inputs!$B$8,IF(C752="C",Inputs!$B$9,0)))</f>
        <v>1</v>
      </c>
      <c r="K752" s="2" t="n">
        <f aca="false">IF(AND(E752&lt;&gt;"",G752&lt;&gt;"",J752&gt;0),IF(I752&gt;=Inputs!$B$6,1,0),0)</f>
        <v>1</v>
      </c>
      <c r="L752" s="5" t="n">
        <v>1</v>
      </c>
      <c r="M752" s="5" t="n">
        <v>4793.2123</v>
      </c>
      <c r="N752" s="5" t="n">
        <v>24.31</v>
      </c>
      <c r="O752" s="4" t="s">
        <v>64</v>
      </c>
      <c r="P752" s="2" t="n">
        <f aca="false">IF(K752=1,J752/G752^2,0)</f>
        <v>0.512251036775608</v>
      </c>
      <c r="Q752" s="2" t="n">
        <f aca="false">IF(K752=1,((E752-Result!$B$7*D752)/G752)^2,0)</f>
        <v>0.170661629492502</v>
      </c>
    </row>
    <row r="753" customFormat="false" ht="15" hidden="false" customHeight="false" outlineLevel="0" collapsed="false">
      <c r="A753" s="4" t="s">
        <v>38</v>
      </c>
      <c r="B753" s="4" t="s">
        <v>819</v>
      </c>
      <c r="C753" s="4" t="s">
        <v>63</v>
      </c>
      <c r="D753" s="5" t="n">
        <v>2070.3073</v>
      </c>
      <c r="E753" s="5" t="n">
        <v>10.57</v>
      </c>
      <c r="F753" s="5" t="n">
        <v>0.00507123465914467</v>
      </c>
      <c r="G753" s="5" t="n">
        <v>1.3972</v>
      </c>
      <c r="H753" s="2" t="n">
        <f aca="false">D753*F753</f>
        <v>10.4990141348402</v>
      </c>
      <c r="I753" s="2" t="n">
        <f aca="false">IF(G753="","",D753*1000000/Inputs!$B$4^2*Inputs!$B$5/G753)</f>
        <v>7.52984713379204</v>
      </c>
      <c r="J753" s="2" t="n">
        <f aca="false">IF(C753="A",Inputs!$B$7,IF(C753="B",Inputs!$B$8,IF(C753="C",Inputs!$B$9,0)))</f>
        <v>1</v>
      </c>
      <c r="K753" s="2" t="n">
        <f aca="false">IF(AND(E753&lt;&gt;"",G753&lt;&gt;"",J753&gt;0),IF(I753&gt;=Inputs!$B$6,1,0),0)</f>
        <v>1</v>
      </c>
      <c r="L753" s="5" t="n">
        <v>0</v>
      </c>
      <c r="M753" s="5" t="n">
        <v>2070.3013</v>
      </c>
      <c r="N753" s="5" t="n">
        <v>10.5</v>
      </c>
      <c r="O753" s="4" t="s">
        <v>64</v>
      </c>
      <c r="P753" s="2" t="n">
        <f aca="false">IF(K753=1,J753/G753^2,0)</f>
        <v>0.512251036775608</v>
      </c>
      <c r="Q753" s="2" t="n">
        <f aca="false">IF(K753=1,((E753-Result!$B$7*D753)/G753)^2,0)</f>
        <v>0.00590493361840034</v>
      </c>
    </row>
    <row r="754" customFormat="false" ht="15" hidden="false" customHeight="false" outlineLevel="0" collapsed="false">
      <c r="A754" s="4" t="s">
        <v>38</v>
      </c>
      <c r="B754" s="4" t="s">
        <v>820</v>
      </c>
      <c r="C754" s="4" t="s">
        <v>63</v>
      </c>
      <c r="D754" s="5" t="n">
        <v>231.3756</v>
      </c>
      <c r="E754" s="5" t="n">
        <v>2.42</v>
      </c>
      <c r="F754" s="5" t="n">
        <v>0.00507143890332915</v>
      </c>
      <c r="G754" s="5" t="n">
        <v>1.3972</v>
      </c>
      <c r="H754" s="2" t="n">
        <f aca="false">D754*F754</f>
        <v>1.17340721912112</v>
      </c>
      <c r="I754" s="2" t="n">
        <f aca="false">IF(G754="","",D754*1000000/Inputs!$B$4^2*Inputs!$B$5/G754)</f>
        <v>0.841528645766459</v>
      </c>
      <c r="J754" s="2" t="n">
        <f aca="false">IF(C754="A",Inputs!$B$7,IF(C754="B",Inputs!$B$8,IF(C754="C",Inputs!$B$9,0)))</f>
        <v>1</v>
      </c>
      <c r="K754" s="2" t="n">
        <f aca="false">IF(AND(E754&lt;&gt;"",G754&lt;&gt;"",J754&gt;0),IF(I754&gt;=Inputs!$B$6,1,0),0)</f>
        <v>0</v>
      </c>
      <c r="L754" s="5" t="n">
        <v>0</v>
      </c>
      <c r="M754" s="5" t="n">
        <v>231.3711</v>
      </c>
      <c r="N754" s="5" t="n">
        <v>1.174</v>
      </c>
      <c r="O754" s="4" t="s">
        <v>64</v>
      </c>
      <c r="P754" s="2" t="n">
        <f aca="false">IF(K754=1,J754/G754^2,0)</f>
        <v>0</v>
      </c>
      <c r="Q754" s="2" t="n">
        <f aca="false">IF(K754=1,((E754-Result!$B$7*D754)/G754)^2,0)</f>
        <v>0</v>
      </c>
    </row>
    <row r="755" customFormat="false" ht="15" hidden="false" customHeight="false" outlineLevel="0" collapsed="false">
      <c r="A755" s="4" t="s">
        <v>38</v>
      </c>
      <c r="B755" s="4" t="s">
        <v>821</v>
      </c>
      <c r="C755" s="4" t="s">
        <v>63</v>
      </c>
      <c r="D755" s="5" t="n">
        <v>1149.1063</v>
      </c>
      <c r="E755" s="5" t="n">
        <v>6.68</v>
      </c>
      <c r="F755" s="5" t="n">
        <v>0.00507161843119683</v>
      </c>
      <c r="G755" s="5" t="n">
        <v>1.3972</v>
      </c>
      <c r="H755" s="2" t="n">
        <f aca="false">D755*F755</f>
        <v>5.8278286904844</v>
      </c>
      <c r="I755" s="2" t="n">
        <f aca="false">IF(G755="","",D755*1000000/Inputs!$B$4^2*Inputs!$B$5/G755)</f>
        <v>4.17937703232625</v>
      </c>
      <c r="J755" s="2" t="n">
        <f aca="false">IF(C755="A",Inputs!$B$7,IF(C755="B",Inputs!$B$8,IF(C755="C",Inputs!$B$9,0)))</f>
        <v>1</v>
      </c>
      <c r="K755" s="2" t="n">
        <f aca="false">IF(AND(E755&lt;&gt;"",G755&lt;&gt;"",J755&gt;0),IF(I755&gt;=Inputs!$B$6,1,0),0)</f>
        <v>1</v>
      </c>
      <c r="L755" s="5" t="n">
        <v>0</v>
      </c>
      <c r="M755" s="5" t="n">
        <v>1149.0953</v>
      </c>
      <c r="N755" s="5" t="n">
        <v>5.83</v>
      </c>
      <c r="O755" s="4" t="s">
        <v>64</v>
      </c>
      <c r="P755" s="2" t="n">
        <f aca="false">IF(K755=1,J755/G755^2,0)</f>
        <v>0.512251036775608</v>
      </c>
      <c r="Q755" s="2" t="n">
        <f aca="false">IF(K755=1,((E755-Result!$B$7*D755)/G755)^2,0)</f>
        <v>0.390226708205614</v>
      </c>
    </row>
    <row r="756" customFormat="false" ht="15" hidden="false" customHeight="false" outlineLevel="0" collapsed="false">
      <c r="A756" s="4" t="s">
        <v>38</v>
      </c>
      <c r="B756" s="4" t="s">
        <v>822</v>
      </c>
      <c r="C756" s="4" t="s">
        <v>63</v>
      </c>
      <c r="D756" s="5" t="n">
        <v>1078.5735</v>
      </c>
      <c r="E756" s="5" t="n">
        <v>6.3</v>
      </c>
      <c r="F756" s="5" t="n">
        <v>0.00507134062724593</v>
      </c>
      <c r="G756" s="5" t="n">
        <v>1.3972</v>
      </c>
      <c r="H756" s="2" t="n">
        <f aca="false">D756*F756</f>
        <v>5.46981361002084</v>
      </c>
      <c r="I756" s="2" t="n">
        <f aca="false">IF(G756="","",D756*1000000/Inputs!$B$4^2*Inputs!$B$5/G756)</f>
        <v>3.92284448669</v>
      </c>
      <c r="J756" s="2" t="n">
        <f aca="false">IF(C756="A",Inputs!$B$7,IF(C756="B",Inputs!$B$8,IF(C756="C",Inputs!$B$9,0)))</f>
        <v>1</v>
      </c>
      <c r="K756" s="2" t="n">
        <f aca="false">IF(AND(E756&lt;&gt;"",G756&lt;&gt;"",J756&gt;0),IF(I756&gt;=Inputs!$B$6,1,0),0)</f>
        <v>1</v>
      </c>
      <c r="L756" s="5" t="n">
        <v>0</v>
      </c>
      <c r="M756" s="5" t="n">
        <v>1078.574</v>
      </c>
      <c r="N756" s="5" t="n">
        <v>5.47</v>
      </c>
      <c r="O756" s="4" t="s">
        <v>64</v>
      </c>
      <c r="P756" s="2" t="n">
        <f aca="false">IF(K756=1,J756/G756^2,0)</f>
        <v>0.512251036775608</v>
      </c>
      <c r="Q756" s="2" t="n">
        <f aca="false">IF(K756=1,((E756-Result!$B$7*D756)/G756)^2,0)</f>
        <v>0.369451719194396</v>
      </c>
    </row>
    <row r="757" customFormat="false" ht="15" hidden="false" customHeight="false" outlineLevel="0" collapsed="false">
      <c r="A757" s="4" t="s">
        <v>38</v>
      </c>
      <c r="B757" s="4" t="s">
        <v>823</v>
      </c>
      <c r="C757" s="4" t="s">
        <v>63</v>
      </c>
      <c r="D757" s="5" t="n">
        <v>2140.8146</v>
      </c>
      <c r="E757" s="5" t="n">
        <v>10.95</v>
      </c>
      <c r="F757" s="5" t="n">
        <v>0.00507138697271825</v>
      </c>
      <c r="G757" s="5" t="n">
        <v>1.3972</v>
      </c>
      <c r="H757" s="2" t="n">
        <f aca="false">D757*F757</f>
        <v>10.856899273445</v>
      </c>
      <c r="I757" s="2" t="n">
        <f aca="false">IF(G757="","",D757*1000000/Inputs!$B$4^2*Inputs!$B$5/G757)</f>
        <v>7.78628693421028</v>
      </c>
      <c r="J757" s="2" t="n">
        <f aca="false">IF(C757="A",Inputs!$B$7,IF(C757="B",Inputs!$B$8,IF(C757="C",Inputs!$B$9,0)))</f>
        <v>1</v>
      </c>
      <c r="K757" s="2" t="n">
        <f aca="false">IF(AND(E757&lt;&gt;"",G757&lt;&gt;"",J757&gt;0),IF(I757&gt;=Inputs!$B$6,1,0),0)</f>
        <v>1</v>
      </c>
      <c r="L757" s="5" t="n">
        <v>0</v>
      </c>
      <c r="M757" s="5" t="n">
        <v>2140.8227</v>
      </c>
      <c r="N757" s="5" t="n">
        <v>10.86</v>
      </c>
      <c r="O757" s="4" t="s">
        <v>64</v>
      </c>
      <c r="P757" s="2" t="n">
        <f aca="false">IF(K757=1,J757/G757^2,0)</f>
        <v>0.512251036775608</v>
      </c>
      <c r="Q757" s="2" t="n">
        <f aca="false">IF(K757=1,((E757-Result!$B$7*D757)/G757)^2,0)</f>
        <v>0.00879687972631919</v>
      </c>
    </row>
    <row r="758" customFormat="false" ht="15" hidden="false" customHeight="false" outlineLevel="0" collapsed="false">
      <c r="A758" s="4" t="s">
        <v>38</v>
      </c>
      <c r="B758" s="4" t="s">
        <v>824</v>
      </c>
      <c r="C758" s="4"/>
      <c r="D758" s="5" t="n">
        <v>2015.9007</v>
      </c>
      <c r="E758" s="5"/>
      <c r="F758" s="5" t="n">
        <v>0.00507118445276867</v>
      </c>
      <c r="G758" s="5" t="n">
        <v>1.3972</v>
      </c>
      <c r="H758" s="2" t="n">
        <f aca="false">D758*F758</f>
        <v>10.2230042881655</v>
      </c>
      <c r="I758" s="2" t="n">
        <f aca="false">IF(G758="","",D758*1000000/Inputs!$B$4^2*Inputs!$B$5/G758)</f>
        <v>7.3319666640331</v>
      </c>
      <c r="J758" s="2" t="n">
        <f aca="false">IF(C758="A",Inputs!$B$7,IF(C758="B",Inputs!$B$8,IF(C758="C",Inputs!$B$9,0)))</f>
        <v>0</v>
      </c>
      <c r="K758" s="2" t="n">
        <f aca="false">IF(AND(E758&lt;&gt;"",G758&lt;&gt;"",J758&gt;0),IF(I758&gt;=Inputs!$B$6,1,0),0)</f>
        <v>0</v>
      </c>
      <c r="L758" s="5" t="n">
        <v>0</v>
      </c>
      <c r="M758" s="5" t="n">
        <v>2015.9007</v>
      </c>
      <c r="N758" s="5" t="n">
        <v>10.23</v>
      </c>
      <c r="O758" s="4" t="s">
        <v>64</v>
      </c>
      <c r="P758" s="2" t="n">
        <f aca="false">IF(K758=1,J758/G758^2,0)</f>
        <v>0</v>
      </c>
      <c r="Q758" s="2" t="n">
        <f aca="false">IF(K758=1,((E758-Result!$B$7*D758)/G758)^2,0)</f>
        <v>0</v>
      </c>
    </row>
    <row r="759" customFormat="false" ht="15" hidden="false" customHeight="false" outlineLevel="0" collapsed="false">
      <c r="A759" s="4" t="s">
        <v>38</v>
      </c>
      <c r="B759" s="4" t="s">
        <v>825</v>
      </c>
      <c r="C759" s="4" t="s">
        <v>63</v>
      </c>
      <c r="D759" s="5" t="n">
        <v>1795.0018</v>
      </c>
      <c r="E759" s="5" t="n">
        <v>7.11</v>
      </c>
      <c r="F759" s="5" t="n">
        <v>0.00507186633296685</v>
      </c>
      <c r="G759" s="5" t="n">
        <v>1.3972</v>
      </c>
      <c r="H759" s="2" t="n">
        <f aca="false">D759*F759</f>
        <v>9.1040091970349</v>
      </c>
      <c r="I759" s="2" t="n">
        <f aca="false">IF(G759="","",D759*1000000/Inputs!$B$4^2*Inputs!$B$5/G759)</f>
        <v>6.52854248201779</v>
      </c>
      <c r="J759" s="2" t="n">
        <f aca="false">IF(C759="A",Inputs!$B$7,IF(C759="B",Inputs!$B$8,IF(C759="C",Inputs!$B$9,0)))</f>
        <v>1</v>
      </c>
      <c r="K759" s="2" t="n">
        <f aca="false">IF(AND(E759&lt;&gt;"",G759&lt;&gt;"",J759&gt;0),IF(I759&gt;=Inputs!$B$6,1,0),0)</f>
        <v>1</v>
      </c>
      <c r="L759" s="5" t="n">
        <v>0</v>
      </c>
      <c r="M759" s="5" t="n">
        <v>1794.9989</v>
      </c>
      <c r="N759" s="5" t="n">
        <v>9.11</v>
      </c>
      <c r="O759" s="4" t="s">
        <v>411</v>
      </c>
      <c r="P759" s="2" t="n">
        <f aca="false">IF(K759=1,J759/G759^2,0)</f>
        <v>0.512251036775608</v>
      </c>
      <c r="Q759" s="2" t="n">
        <f aca="false">IF(K759=1,((E759-Result!$B$7*D759)/G759)^2,0)</f>
        <v>1.9705414189963</v>
      </c>
    </row>
    <row r="760" customFormat="false" ht="15" hidden="false" customHeight="false" outlineLevel="0" collapsed="false">
      <c r="A760" s="4" t="s">
        <v>38</v>
      </c>
      <c r="B760" s="4" t="s">
        <v>826</v>
      </c>
      <c r="C760" s="4" t="s">
        <v>63</v>
      </c>
      <c r="D760" s="5" t="n">
        <v>1680.8428</v>
      </c>
      <c r="E760" s="5" t="n">
        <v>7.12</v>
      </c>
      <c r="F760" s="5" t="n">
        <v>0.00507166389760238</v>
      </c>
      <c r="G760" s="5" t="n">
        <v>1.3972</v>
      </c>
      <c r="H760" s="2" t="n">
        <f aca="false">D760*F760</f>
        <v>8.5246697463049</v>
      </c>
      <c r="I760" s="2" t="n">
        <f aca="false">IF(G760="","",D760*1000000/Inputs!$B$4^2*Inputs!$B$5/G760)</f>
        <v>6.11333850773506</v>
      </c>
      <c r="J760" s="2" t="n">
        <f aca="false">IF(C760="A",Inputs!$B$7,IF(C760="B",Inputs!$B$8,IF(C760="C",Inputs!$B$9,0)))</f>
        <v>1</v>
      </c>
      <c r="K760" s="2" t="n">
        <f aca="false">IF(AND(E760&lt;&gt;"",G760&lt;&gt;"",J760&gt;0),IF(I760&gt;=Inputs!$B$6,1,0),0)</f>
        <v>1</v>
      </c>
      <c r="L760" s="5" t="n">
        <v>1</v>
      </c>
      <c r="M760" s="5" t="n">
        <v>1684.5974</v>
      </c>
      <c r="N760" s="5" t="n">
        <v>8.54</v>
      </c>
      <c r="O760" s="4" t="s">
        <v>64</v>
      </c>
      <c r="P760" s="2" t="n">
        <f aca="false">IF(K760=1,J760/G760^2,0)</f>
        <v>0.512251036775608</v>
      </c>
      <c r="Q760" s="2" t="n">
        <f aca="false">IF(K760=1,((E760-Result!$B$7*D760)/G760)^2,0)</f>
        <v>0.967646579100383</v>
      </c>
    </row>
    <row r="761" customFormat="false" ht="15" hidden="false" customHeight="false" outlineLevel="0" collapsed="false">
      <c r="A761" s="4" t="s">
        <v>38</v>
      </c>
      <c r="B761" s="4" t="s">
        <v>827</v>
      </c>
      <c r="C761" s="4" t="s">
        <v>63</v>
      </c>
      <c r="D761" s="5" t="n">
        <v>2125.0743</v>
      </c>
      <c r="E761" s="5" t="n">
        <v>11.98</v>
      </c>
      <c r="F761" s="5" t="n">
        <v>0.00507218436691196</v>
      </c>
      <c r="G761" s="5" t="n">
        <v>1.3972</v>
      </c>
      <c r="H761" s="2" t="n">
        <f aca="false">D761*F761</f>
        <v>10.7787686429864</v>
      </c>
      <c r="I761" s="2" t="n">
        <f aca="false">IF(G761="","",D761*1000000/Inputs!$B$4^2*Inputs!$B$5/G761)</f>
        <v>7.72903840263237</v>
      </c>
      <c r="J761" s="2" t="n">
        <f aca="false">IF(C761="A",Inputs!$B$7,IF(C761="B",Inputs!$B$8,IF(C761="C",Inputs!$B$9,0)))</f>
        <v>1</v>
      </c>
      <c r="K761" s="2" t="n">
        <f aca="false">IF(AND(E761&lt;&gt;"",G761&lt;&gt;"",J761&gt;0),IF(I761&gt;=Inputs!$B$6,1,0),0)</f>
        <v>1</v>
      </c>
      <c r="L761" s="5" t="n">
        <v>0</v>
      </c>
      <c r="M761" s="5" t="n">
        <v>2125.0723</v>
      </c>
      <c r="N761" s="5" t="n">
        <v>10.78</v>
      </c>
      <c r="O761" s="4" t="s">
        <v>64</v>
      </c>
      <c r="P761" s="2" t="n">
        <f aca="false">IF(K761=1,J761/G761^2,0)</f>
        <v>0.512251036775608</v>
      </c>
      <c r="Q761" s="2" t="n">
        <f aca="false">IF(K761=1,((E761-Result!$B$7*D761)/G761)^2,0)</f>
        <v>0.788389314706651</v>
      </c>
    </row>
    <row r="762" customFormat="false" ht="15" hidden="false" customHeight="false" outlineLevel="0" collapsed="false">
      <c r="A762" s="4" t="s">
        <v>38</v>
      </c>
      <c r="B762" s="4" t="s">
        <v>828</v>
      </c>
      <c r="C762" s="4" t="s">
        <v>63</v>
      </c>
      <c r="D762" s="5" t="n">
        <v>1647.7153</v>
      </c>
      <c r="E762" s="5" t="n">
        <v>6.34</v>
      </c>
      <c r="F762" s="5" t="n">
        <v>0.00507198287765894</v>
      </c>
      <c r="G762" s="5" t="n">
        <v>1.3972</v>
      </c>
      <c r="H762" s="2" t="n">
        <f aca="false">D762*F762</f>
        <v>8.35718378885666</v>
      </c>
      <c r="I762" s="2" t="n">
        <f aca="false">IF(G762="","",D762*1000000/Inputs!$B$4^2*Inputs!$B$5/G762)</f>
        <v>5.99285155832194</v>
      </c>
      <c r="J762" s="2" t="n">
        <f aca="false">IF(C762="A",Inputs!$B$7,IF(C762="B",Inputs!$B$8,IF(C762="C",Inputs!$B$9,0)))</f>
        <v>1</v>
      </c>
      <c r="K762" s="2" t="n">
        <f aca="false">IF(AND(E762&lt;&gt;"",G762&lt;&gt;"",J762&gt;0),IF(I762&gt;=Inputs!$B$6,1,0),0)</f>
        <v>1</v>
      </c>
      <c r="L762" s="5" t="n">
        <v>1</v>
      </c>
      <c r="M762" s="5" t="n">
        <v>1647.7114</v>
      </c>
      <c r="N762" s="5" t="n">
        <v>8.36</v>
      </c>
      <c r="O762" s="4" t="s">
        <v>64</v>
      </c>
      <c r="P762" s="2" t="n">
        <f aca="false">IF(K762=1,J762/G762^2,0)</f>
        <v>0.512251036775608</v>
      </c>
      <c r="Q762" s="2" t="n">
        <f aca="false">IF(K762=1,((E762-Result!$B$7*D762)/G762)^2,0)</f>
        <v>2.02244728479276</v>
      </c>
    </row>
    <row r="763" customFormat="false" ht="15" hidden="false" customHeight="false" outlineLevel="0" collapsed="false">
      <c r="A763" s="4" t="s">
        <v>38</v>
      </c>
      <c r="B763" s="4" t="s">
        <v>829</v>
      </c>
      <c r="C763" s="4" t="s">
        <v>63</v>
      </c>
      <c r="D763" s="5" t="n">
        <v>2272.3594</v>
      </c>
      <c r="E763" s="5" t="n">
        <v>12.75</v>
      </c>
      <c r="F763" s="5" t="n">
        <v>0.00507207849093981</v>
      </c>
      <c r="G763" s="5" t="n">
        <v>1.3972</v>
      </c>
      <c r="H763" s="2" t="n">
        <f aca="false">D763*F763</f>
        <v>11.5255852364249</v>
      </c>
      <c r="I763" s="2" t="n">
        <f aca="false">IF(G763="","",D763*1000000/Inputs!$B$4^2*Inputs!$B$5/G763)</f>
        <v>8.26472423443389</v>
      </c>
      <c r="J763" s="2" t="n">
        <f aca="false">IF(C763="A",Inputs!$B$7,IF(C763="B",Inputs!$B$8,IF(C763="C",Inputs!$B$9,0)))</f>
        <v>1</v>
      </c>
      <c r="K763" s="2" t="n">
        <f aca="false">IF(AND(E763&lt;&gt;"",G763&lt;&gt;"",J763&gt;0),IF(I763&gt;=Inputs!$B$6,1,0),0)</f>
        <v>1</v>
      </c>
      <c r="L763" s="5" t="n">
        <v>1</v>
      </c>
      <c r="M763" s="5" t="n">
        <v>2272.3598</v>
      </c>
      <c r="N763" s="5" t="n">
        <v>11.53</v>
      </c>
      <c r="O763" s="4" t="s">
        <v>64</v>
      </c>
      <c r="P763" s="2" t="n">
        <f aca="false">IF(K763=1,J763/G763^2,0)</f>
        <v>0.512251036775608</v>
      </c>
      <c r="Q763" s="2" t="n">
        <f aca="false">IF(K763=1,((E763-Result!$B$7*D763)/G763)^2,0)</f>
        <v>0.821354222137883</v>
      </c>
    </row>
    <row r="764" customFormat="false" ht="15" hidden="false" customHeight="false" outlineLevel="0" collapsed="false">
      <c r="A764" s="4" t="s">
        <v>38</v>
      </c>
      <c r="B764" s="4" t="s">
        <v>830</v>
      </c>
      <c r="C764" s="4" t="s">
        <v>63</v>
      </c>
      <c r="D764" s="5" t="n">
        <v>1923.4542</v>
      </c>
      <c r="E764" s="5" t="n">
        <v>9.12</v>
      </c>
      <c r="F764" s="5" t="n">
        <v>0.00507249147140377</v>
      </c>
      <c r="G764" s="5" t="n">
        <v>1.3972</v>
      </c>
      <c r="H764" s="2" t="n">
        <f aca="false">D764*F764</f>
        <v>9.75670502513577</v>
      </c>
      <c r="I764" s="2" t="n">
        <f aca="false">IF(G764="","",D764*1000000/Inputs!$B$4^2*Inputs!$B$5/G764)</f>
        <v>6.99573251509583</v>
      </c>
      <c r="J764" s="2" t="n">
        <f aca="false">IF(C764="A",Inputs!$B$7,IF(C764="B",Inputs!$B$8,IF(C764="C",Inputs!$B$9,0)))</f>
        <v>1</v>
      </c>
      <c r="K764" s="2" t="n">
        <f aca="false">IF(AND(E764&lt;&gt;"",G764&lt;&gt;"",J764&gt;0),IF(I764&gt;=Inputs!$B$6,1,0),0)</f>
        <v>1</v>
      </c>
      <c r="L764" s="5" t="n">
        <v>0</v>
      </c>
      <c r="M764" s="5" t="n">
        <v>1923.4498</v>
      </c>
      <c r="N764" s="5" t="n">
        <v>9.76</v>
      </c>
      <c r="O764" s="4" t="s">
        <v>64</v>
      </c>
      <c r="P764" s="2" t="n">
        <f aca="false">IF(K764=1,J764/G764^2,0)</f>
        <v>0.512251036775608</v>
      </c>
      <c r="Q764" s="2" t="n">
        <f aca="false">IF(K764=1,((E764-Result!$B$7*D764)/G764)^2,0)</f>
        <v>0.184710579647437</v>
      </c>
    </row>
    <row r="765" customFormat="false" ht="15" hidden="false" customHeight="false" outlineLevel="0" collapsed="false">
      <c r="A765" s="4" t="s">
        <v>38</v>
      </c>
      <c r="B765" s="4" t="s">
        <v>831</v>
      </c>
      <c r="C765" s="4" t="s">
        <v>63</v>
      </c>
      <c r="D765" s="5" t="n">
        <v>1912.4364</v>
      </c>
      <c r="E765" s="5" t="n">
        <v>10.09</v>
      </c>
      <c r="F765" s="5" t="n">
        <v>0.00507263847746997</v>
      </c>
      <c r="G765" s="5" t="n">
        <v>1.3972</v>
      </c>
      <c r="H765" s="2" t="n">
        <f aca="false">D765*F765</f>
        <v>9.70109846835416</v>
      </c>
      <c r="I765" s="2" t="n">
        <f aca="false">IF(G765="","",D765*1000000/Inputs!$B$4^2*Inputs!$B$5/G765)</f>
        <v>6.95566003418892</v>
      </c>
      <c r="J765" s="2" t="n">
        <f aca="false">IF(C765="A",Inputs!$B$7,IF(C765="B",Inputs!$B$8,IF(C765="C",Inputs!$B$9,0)))</f>
        <v>1</v>
      </c>
      <c r="K765" s="2" t="n">
        <f aca="false">IF(AND(E765&lt;&gt;"",G765&lt;&gt;"",J765&gt;0),IF(I765&gt;=Inputs!$B$6,1,0),0)</f>
        <v>1</v>
      </c>
      <c r="L765" s="5" t="n">
        <v>1</v>
      </c>
      <c r="M765" s="5" t="n">
        <v>1912.4463</v>
      </c>
      <c r="N765" s="5" t="n">
        <v>9.7</v>
      </c>
      <c r="O765" s="4" t="s">
        <v>64</v>
      </c>
      <c r="P765" s="2" t="n">
        <f aca="false">IF(K765=1,J765/G765^2,0)</f>
        <v>0.512251036775608</v>
      </c>
      <c r="Q765" s="2" t="n">
        <f aca="false">IF(K765=1,((E765-Result!$B$7*D765)/G765)^2,0)</f>
        <v>0.0926089889976233</v>
      </c>
    </row>
    <row r="766" customFormat="false" ht="15" hidden="false" customHeight="false" outlineLevel="0" collapsed="false">
      <c r="A766" s="4" t="s">
        <v>38</v>
      </c>
      <c r="B766" s="4" t="s">
        <v>832</v>
      </c>
      <c r="C766" s="4" t="s">
        <v>63</v>
      </c>
      <c r="D766" s="5" t="n">
        <v>2443.5311</v>
      </c>
      <c r="E766" s="5" t="n">
        <v>13.45</v>
      </c>
      <c r="F766" s="5" t="n">
        <v>0.00507284986113636</v>
      </c>
      <c r="G766" s="5" t="n">
        <v>1.3972</v>
      </c>
      <c r="H766" s="2" t="n">
        <f aca="false">D766*F766</f>
        <v>12.3956664013174</v>
      </c>
      <c r="I766" s="2" t="n">
        <f aca="false">IF(G766="","",D766*1000000/Inputs!$B$4^2*Inputs!$B$5/G766)</f>
        <v>8.88728723975746</v>
      </c>
      <c r="J766" s="2" t="n">
        <f aca="false">IF(C766="A",Inputs!$B$7,IF(C766="B",Inputs!$B$8,IF(C766="C",Inputs!$B$9,0)))</f>
        <v>1</v>
      </c>
      <c r="K766" s="2" t="n">
        <f aca="false">IF(AND(E766&lt;&gt;"",G766&lt;&gt;"",J766&gt;0),IF(I766&gt;=Inputs!$B$6,1,0),0)</f>
        <v>1</v>
      </c>
      <c r="L766" s="5" t="n">
        <v>0</v>
      </c>
      <c r="M766" s="5" t="n">
        <v>2443.5343</v>
      </c>
      <c r="N766" s="5" t="n">
        <v>12.4</v>
      </c>
      <c r="O766" s="4" t="s">
        <v>64</v>
      </c>
      <c r="P766" s="2" t="n">
        <f aca="false">IF(K766=1,J766/G766^2,0)</f>
        <v>0.512251036775608</v>
      </c>
      <c r="Q766" s="2" t="n">
        <f aca="false">IF(K766=1,((E766-Result!$B$7*D766)/G766)^2,0)</f>
        <v>0.621197980994168</v>
      </c>
    </row>
    <row r="767" customFormat="false" ht="15" hidden="false" customHeight="false" outlineLevel="0" collapsed="false">
      <c r="A767" s="4" t="s">
        <v>38</v>
      </c>
      <c r="B767" s="4" t="s">
        <v>833</v>
      </c>
      <c r="C767" s="4" t="s">
        <v>63</v>
      </c>
      <c r="D767" s="5" t="n">
        <v>2454.5202</v>
      </c>
      <c r="E767" s="5" t="n">
        <v>12.48</v>
      </c>
      <c r="F767" s="5" t="n">
        <v>0.0050727334773858</v>
      </c>
      <c r="G767" s="5" t="n">
        <v>1.3972</v>
      </c>
      <c r="H767" s="2" t="n">
        <f aca="false">D767*F767</f>
        <v>12.4511267894597</v>
      </c>
      <c r="I767" s="2" t="n">
        <f aca="false">IF(G767="","",D767*1000000/Inputs!$B$4^2*Inputs!$B$5/G767)</f>
        <v>8.92725533683075</v>
      </c>
      <c r="J767" s="2" t="n">
        <f aca="false">IF(C767="A",Inputs!$B$7,IF(C767="B",Inputs!$B$8,IF(C767="C",Inputs!$B$9,0)))</f>
        <v>1</v>
      </c>
      <c r="K767" s="2" t="n">
        <f aca="false">IF(AND(E767&lt;&gt;"",G767&lt;&gt;"",J767&gt;0),IF(I767&gt;=Inputs!$B$6,1,0),0)</f>
        <v>1</v>
      </c>
      <c r="L767" s="5" t="n">
        <v>0</v>
      </c>
      <c r="M767" s="5" t="n">
        <v>2454.5378</v>
      </c>
      <c r="N767" s="5" t="n">
        <v>12.45</v>
      </c>
      <c r="O767" s="4" t="s">
        <v>64</v>
      </c>
      <c r="P767" s="2" t="n">
        <f aca="false">IF(K767=1,J767/G767^2,0)</f>
        <v>0.512251036775608</v>
      </c>
      <c r="Q767" s="2" t="n">
        <f aca="false">IF(K767=1,((E767-Result!$B$7*D767)/G767)^2,0)</f>
        <v>0.00293417317302527</v>
      </c>
    </row>
    <row r="768" customFormat="false" ht="15" hidden="false" customHeight="false" outlineLevel="0" collapsed="false">
      <c r="A768" s="4" t="s">
        <v>38</v>
      </c>
      <c r="B768" s="4" t="s">
        <v>834</v>
      </c>
      <c r="C768" s="4" t="s">
        <v>63</v>
      </c>
      <c r="D768" s="5" t="n">
        <v>1143.396</v>
      </c>
      <c r="E768" s="5" t="n">
        <v>5.57</v>
      </c>
      <c r="F768" s="5" t="n">
        <v>0.00507263469623112</v>
      </c>
      <c r="G768" s="5" t="n">
        <v>1.3972</v>
      </c>
      <c r="H768" s="2" t="n">
        <f aca="false">D768*F768</f>
        <v>5.80003022113187</v>
      </c>
      <c r="I768" s="2" t="n">
        <f aca="false">IF(G768="","",D768*1000000/Inputs!$B$4^2*Inputs!$B$5/G768)</f>
        <v>4.15860828650379</v>
      </c>
      <c r="J768" s="2" t="n">
        <f aca="false">IF(C768="A",Inputs!$B$7,IF(C768="B",Inputs!$B$8,IF(C768="C",Inputs!$B$9,0)))</f>
        <v>1</v>
      </c>
      <c r="K768" s="2" t="n">
        <f aca="false">IF(AND(E768&lt;&gt;"",G768&lt;&gt;"",J768&gt;0),IF(I768&gt;=Inputs!$B$6,1,0),0)</f>
        <v>1</v>
      </c>
      <c r="L768" s="5" t="n">
        <v>0</v>
      </c>
      <c r="M768" s="5" t="n">
        <v>1143.3947</v>
      </c>
      <c r="N768" s="5" t="n">
        <v>5.8</v>
      </c>
      <c r="O768" s="4" t="s">
        <v>64</v>
      </c>
      <c r="P768" s="2" t="n">
        <f aca="false">IF(K768=1,J768/G768^2,0)</f>
        <v>0.512251036775608</v>
      </c>
      <c r="Q768" s="2" t="n">
        <f aca="false">IF(K768=1,((E768-Result!$B$7*D768)/G768)^2,0)</f>
        <v>0.0222339815813608</v>
      </c>
    </row>
    <row r="769" customFormat="false" ht="15" hidden="false" customHeight="false" outlineLevel="0" collapsed="false">
      <c r="A769" s="4" t="s">
        <v>38</v>
      </c>
      <c r="B769" s="4" t="s">
        <v>835</v>
      </c>
      <c r="C769" s="4" t="s">
        <v>63</v>
      </c>
      <c r="D769" s="5" t="n">
        <v>5132.0777</v>
      </c>
      <c r="E769" s="5" t="n">
        <v>26.65</v>
      </c>
      <c r="F769" s="5" t="n">
        <v>0.00507292885999784</v>
      </c>
      <c r="G769" s="5" t="n">
        <v>1.3972</v>
      </c>
      <c r="H769" s="2" t="n">
        <f aca="false">D769*F769</f>
        <v>26.0346650760813</v>
      </c>
      <c r="I769" s="2" t="n">
        <f aca="false">IF(G769="","",D769*1000000/Inputs!$B$4^2*Inputs!$B$5/G769)</f>
        <v>18.6657123605481</v>
      </c>
      <c r="J769" s="2" t="n">
        <f aca="false">IF(C769="A",Inputs!$B$7,IF(C769="B",Inputs!$B$8,IF(C769="C",Inputs!$B$9,0)))</f>
        <v>1</v>
      </c>
      <c r="K769" s="2" t="n">
        <f aca="false">IF(AND(E769&lt;&gt;"",G769&lt;&gt;"",J769&gt;0),IF(I769&gt;=Inputs!$B$6,1,0),0)</f>
        <v>1</v>
      </c>
      <c r="L769" s="5" t="n">
        <v>1</v>
      </c>
      <c r="M769" s="5" t="n">
        <v>5132.1899</v>
      </c>
      <c r="N769" s="5" t="n">
        <v>26.04</v>
      </c>
      <c r="O769" s="4" t="s">
        <v>64</v>
      </c>
      <c r="P769" s="2" t="n">
        <f aca="false">IF(K769=1,J769/G769^2,0)</f>
        <v>0.512251036775608</v>
      </c>
      <c r="Q769" s="2" t="n">
        <f aca="false">IF(K769=1,((E769-Result!$B$7*D769)/G769)^2,0)</f>
        <v>0.26129853109522</v>
      </c>
    </row>
    <row r="770" customFormat="false" ht="15" hidden="false" customHeight="false" outlineLevel="0" collapsed="false">
      <c r="A770" s="4" t="s">
        <v>38</v>
      </c>
      <c r="B770" s="4" t="s">
        <v>836</v>
      </c>
      <c r="C770" s="4" t="s">
        <v>63</v>
      </c>
      <c r="D770" s="5" t="n">
        <v>2434.0211</v>
      </c>
      <c r="E770" s="5" t="n">
        <v>12.08</v>
      </c>
      <c r="F770" s="5" t="n">
        <v>0.00507314011745748</v>
      </c>
      <c r="G770" s="5" t="n">
        <v>1.3972</v>
      </c>
      <c r="H770" s="2" t="n">
        <f aca="false">D770*F770</f>
        <v>12.348130089148</v>
      </c>
      <c r="I770" s="2" t="n">
        <f aca="false">IF(G770="","",D770*1000000/Inputs!$B$4^2*Inputs!$B$5/G770)</f>
        <v>8.85269872903619</v>
      </c>
      <c r="J770" s="2" t="n">
        <f aca="false">IF(C770="A",Inputs!$B$7,IF(C770="B",Inputs!$B$8,IF(C770="C",Inputs!$B$9,0)))</f>
        <v>1</v>
      </c>
      <c r="K770" s="2" t="n">
        <f aca="false">IF(AND(E770&lt;&gt;"",G770&lt;&gt;"",J770&gt;0),IF(I770&gt;=Inputs!$B$6,1,0),0)</f>
        <v>1</v>
      </c>
      <c r="L770" s="5" t="n">
        <v>0</v>
      </c>
      <c r="M770" s="5" t="n">
        <v>2434.0319</v>
      </c>
      <c r="N770" s="5" t="n">
        <v>12.35</v>
      </c>
      <c r="O770" s="4" t="s">
        <v>64</v>
      </c>
      <c r="P770" s="2" t="n">
        <f aca="false">IF(K770=1,J770/G770^2,0)</f>
        <v>0.512251036775608</v>
      </c>
      <c r="Q770" s="2" t="n">
        <f aca="false">IF(K770=1,((E770-Result!$B$7*D770)/G770)^2,0)</f>
        <v>0.024955706513285</v>
      </c>
    </row>
    <row r="771" customFormat="false" ht="15" hidden="false" customHeight="false" outlineLevel="0" collapsed="false">
      <c r="A771" s="4" t="s">
        <v>38</v>
      </c>
      <c r="B771" s="4" t="s">
        <v>837</v>
      </c>
      <c r="C771" s="4" t="s">
        <v>63</v>
      </c>
      <c r="D771" s="5" t="n">
        <v>243.6212</v>
      </c>
      <c r="E771" s="5" t="n">
        <v>2.09</v>
      </c>
      <c r="F771" s="5" t="n">
        <v>0.00507278193504791</v>
      </c>
      <c r="G771" s="5" t="n">
        <v>1.3972</v>
      </c>
      <c r="H771" s="2" t="n">
        <f aca="false">D771*F771</f>
        <v>1.23583722235469</v>
      </c>
      <c r="I771" s="2" t="n">
        <f aca="false">IF(G771="","",D771*1000000/Inputs!$B$4^2*Inputs!$B$5/G771)</f>
        <v>0.886066717994463</v>
      </c>
      <c r="J771" s="2" t="n">
        <f aca="false">IF(C771="A",Inputs!$B$7,IF(C771="B",Inputs!$B$8,IF(C771="C",Inputs!$B$9,0)))</f>
        <v>1</v>
      </c>
      <c r="K771" s="2" t="n">
        <f aca="false">IF(AND(E771&lt;&gt;"",G771&lt;&gt;"",J771&gt;0),IF(I771&gt;=Inputs!$B$6,1,0),0)</f>
        <v>0</v>
      </c>
      <c r="L771" s="5" t="n">
        <v>0</v>
      </c>
      <c r="M771" s="5" t="n">
        <v>243.6202</v>
      </c>
      <c r="N771" s="5" t="n">
        <v>1.236</v>
      </c>
      <c r="O771" s="4" t="s">
        <v>64</v>
      </c>
      <c r="P771" s="2" t="n">
        <f aca="false">IF(K771=1,J771/G771^2,0)</f>
        <v>0</v>
      </c>
      <c r="Q771" s="2" t="n">
        <f aca="false">IF(K771=1,((E771-Result!$B$7*D771)/G771)^2,0)</f>
        <v>0</v>
      </c>
    </row>
    <row r="772" customFormat="false" ht="15" hidden="false" customHeight="false" outlineLevel="0" collapsed="false">
      <c r="A772" s="4" t="s">
        <v>38</v>
      </c>
      <c r="B772" s="4" t="s">
        <v>838</v>
      </c>
      <c r="C772" s="4" t="s">
        <v>63</v>
      </c>
      <c r="D772" s="5" t="n">
        <v>1900.4421</v>
      </c>
      <c r="E772" s="5" t="n">
        <v>9.17</v>
      </c>
      <c r="F772" s="5" t="n">
        <v>0.00507283011672612</v>
      </c>
      <c r="G772" s="5" t="n">
        <v>1.3972</v>
      </c>
      <c r="H772" s="2" t="n">
        <f aca="false">D772*F772</f>
        <v>9.64061991997423</v>
      </c>
      <c r="I772" s="2" t="n">
        <f aca="false">IF(G772="","",D772*1000000/Inputs!$B$4^2*Inputs!$B$5/G772)</f>
        <v>6.91203595699186</v>
      </c>
      <c r="J772" s="2" t="n">
        <f aca="false">IF(C772="A",Inputs!$B$7,IF(C772="B",Inputs!$B$8,IF(C772="C",Inputs!$B$9,0)))</f>
        <v>1</v>
      </c>
      <c r="K772" s="2" t="n">
        <f aca="false">IF(AND(E772&lt;&gt;"",G772&lt;&gt;"",J772&gt;0),IF(I772&gt;=Inputs!$B$6,1,0),0)</f>
        <v>1</v>
      </c>
      <c r="L772" s="5" t="n">
        <v>1</v>
      </c>
      <c r="M772" s="5" t="n">
        <v>1900.4629</v>
      </c>
      <c r="N772" s="5" t="n">
        <v>9.64</v>
      </c>
      <c r="O772" s="4" t="s">
        <v>64</v>
      </c>
      <c r="P772" s="2" t="n">
        <f aca="false">IF(K772=1,J772/G772^2,0)</f>
        <v>0.512251036775608</v>
      </c>
      <c r="Q772" s="2" t="n">
        <f aca="false">IF(K772=1,((E772-Result!$B$7*D772)/G772)^2,0)</f>
        <v>0.0965712982965269</v>
      </c>
    </row>
    <row r="773" customFormat="false" ht="15" hidden="false" customHeight="false" outlineLevel="0" collapsed="false">
      <c r="A773" s="4" t="s">
        <v>38</v>
      </c>
      <c r="B773" s="4" t="s">
        <v>839</v>
      </c>
      <c r="C773" s="4" t="s">
        <v>63</v>
      </c>
      <c r="D773" s="5" t="n">
        <v>1000.6957</v>
      </c>
      <c r="E773" s="5" t="n">
        <v>5.69</v>
      </c>
      <c r="F773" s="5" t="n">
        <v>0.0050730414188428</v>
      </c>
      <c r="G773" s="5" t="n">
        <v>1.3972</v>
      </c>
      <c r="H773" s="2" t="n">
        <f aca="false">D773*F773</f>
        <v>5.07657073375789</v>
      </c>
      <c r="I773" s="2" t="n">
        <f aca="false">IF(G773="","",D773*1000000/Inputs!$B$4^2*Inputs!$B$5/G773)</f>
        <v>3.63959768119594</v>
      </c>
      <c r="J773" s="2" t="n">
        <f aca="false">IF(C773="A",Inputs!$B$7,IF(C773="B",Inputs!$B$8,IF(C773="C",Inputs!$B$9,0)))</f>
        <v>1</v>
      </c>
      <c r="K773" s="2" t="n">
        <f aca="false">IF(AND(E773&lt;&gt;"",G773&lt;&gt;"",J773&gt;0),IF(I773&gt;=Inputs!$B$6,1,0),0)</f>
        <v>1</v>
      </c>
      <c r="L773" s="5" t="n">
        <v>0</v>
      </c>
      <c r="M773" s="5" t="n">
        <v>1000.6883</v>
      </c>
      <c r="N773" s="5" t="n">
        <v>5.08</v>
      </c>
      <c r="O773" s="4" t="s">
        <v>64</v>
      </c>
      <c r="P773" s="2" t="n">
        <f aca="false">IF(K773=1,J773/G773^2,0)</f>
        <v>0.512251036775608</v>
      </c>
      <c r="Q773" s="2" t="n">
        <f aca="false">IF(K773=1,((E773-Result!$B$7*D773)/G773)^2,0)</f>
        <v>0.205137782605529</v>
      </c>
    </row>
    <row r="774" customFormat="false" ht="15" hidden="false" customHeight="false" outlineLevel="0" collapsed="false">
      <c r="A774" s="4" t="s">
        <v>38</v>
      </c>
      <c r="B774" s="4" t="s">
        <v>840</v>
      </c>
      <c r="C774" s="4" t="s">
        <v>63</v>
      </c>
      <c r="D774" s="5" t="n">
        <v>2211.4812</v>
      </c>
      <c r="E774" s="5" t="n">
        <v>11.91</v>
      </c>
      <c r="F774" s="5" t="n">
        <v>0.00507324950404897</v>
      </c>
      <c r="G774" s="5" t="n">
        <v>1.3972</v>
      </c>
      <c r="H774" s="2" t="n">
        <f aca="false">D774*F774</f>
        <v>11.2193959011136</v>
      </c>
      <c r="I774" s="2" t="n">
        <f aca="false">IF(G774="","",D774*1000000/Inputs!$B$4^2*Inputs!$B$5/G774)</f>
        <v>8.0433061194611</v>
      </c>
      <c r="J774" s="2" t="n">
        <f aca="false">IF(C774="A",Inputs!$B$7,IF(C774="B",Inputs!$B$8,IF(C774="C",Inputs!$B$9,0)))</f>
        <v>1</v>
      </c>
      <c r="K774" s="2" t="n">
        <f aca="false">IF(AND(E774&lt;&gt;"",G774&lt;&gt;"",J774&gt;0),IF(I774&gt;=Inputs!$B$6,1,0),0)</f>
        <v>1</v>
      </c>
      <c r="L774" s="5" t="n">
        <v>0</v>
      </c>
      <c r="M774" s="5" t="n">
        <v>2211.4897</v>
      </c>
      <c r="N774" s="5" t="n">
        <v>11.22</v>
      </c>
      <c r="O774" s="4" t="s">
        <v>64</v>
      </c>
      <c r="P774" s="2" t="n">
        <f aca="false">IF(K774=1,J774/G774^2,0)</f>
        <v>0.512251036775608</v>
      </c>
      <c r="Q774" s="2" t="n">
        <f aca="false">IF(K774=1,((E774-Result!$B$7*D774)/G774)^2,0)</f>
        <v>0.275918614624379</v>
      </c>
    </row>
    <row r="775" customFormat="false" ht="15" hidden="false" customHeight="false" outlineLevel="0" collapsed="false">
      <c r="A775" s="4" t="s">
        <v>38</v>
      </c>
      <c r="B775" s="4" t="s">
        <v>841</v>
      </c>
      <c r="C775" s="4" t="s">
        <v>63</v>
      </c>
      <c r="D775" s="5" t="n">
        <v>1900.9242</v>
      </c>
      <c r="E775" s="5" t="n">
        <v>10.02</v>
      </c>
      <c r="F775" s="5" t="n">
        <v>0.00507344466176566</v>
      </c>
      <c r="G775" s="5" t="n">
        <v>1.3972</v>
      </c>
      <c r="H775" s="2" t="n">
        <f aca="false">D775*F775</f>
        <v>9.64423373491116</v>
      </c>
      <c r="I775" s="2" t="n">
        <f aca="false">IF(G775="","",D775*1000000/Inputs!$B$4^2*Inputs!$B$5/G775)</f>
        <v>6.91378938717259</v>
      </c>
      <c r="J775" s="2" t="n">
        <f aca="false">IF(C775="A",Inputs!$B$7,IF(C775="B",Inputs!$B$8,IF(C775="C",Inputs!$B$9,0)))</f>
        <v>1</v>
      </c>
      <c r="K775" s="2" t="n">
        <f aca="false">IF(AND(E775&lt;&gt;"",G775&lt;&gt;"",J775&gt;0),IF(I775&gt;=Inputs!$B$6,1,0),0)</f>
        <v>1</v>
      </c>
      <c r="L775" s="5" t="n">
        <v>1</v>
      </c>
      <c r="M775" s="5" t="n">
        <v>1900.9313</v>
      </c>
      <c r="N775" s="5" t="n">
        <v>9.65</v>
      </c>
      <c r="O775" s="4" t="s">
        <v>64</v>
      </c>
      <c r="P775" s="2" t="n">
        <f aca="false">IF(K775=1,J775/G775^2,0)</f>
        <v>0.512251036775608</v>
      </c>
      <c r="Q775" s="2" t="n">
        <f aca="false">IF(K775=1,((E775-Result!$B$7*D775)/G775)^2,0)</f>
        <v>0.0875311249378228</v>
      </c>
    </row>
    <row r="776" customFormat="false" ht="15" hidden="false" customHeight="false" outlineLevel="0" collapsed="false">
      <c r="A776" s="4" t="s">
        <v>38</v>
      </c>
      <c r="B776" s="4" t="s">
        <v>842</v>
      </c>
      <c r="C776" s="4" t="s">
        <v>63</v>
      </c>
      <c r="D776" s="5" t="n">
        <v>2123.4686</v>
      </c>
      <c r="E776" s="5" t="n">
        <v>10.19</v>
      </c>
      <c r="F776" s="5" t="n">
        <v>0.00507329790753389</v>
      </c>
      <c r="G776" s="5" t="n">
        <v>1.3972</v>
      </c>
      <c r="H776" s="2" t="n">
        <f aca="false">D776*F776</f>
        <v>10.7729888050939</v>
      </c>
      <c r="I776" s="2" t="n">
        <f aca="false">IF(G776="","",D776*1000000/Inputs!$B$4^2*Inputs!$B$5/G776)</f>
        <v>7.72319836355086</v>
      </c>
      <c r="J776" s="2" t="n">
        <f aca="false">IF(C776="A",Inputs!$B$7,IF(C776="B",Inputs!$B$8,IF(C776="C",Inputs!$B$9,0)))</f>
        <v>1</v>
      </c>
      <c r="K776" s="2" t="n">
        <f aca="false">IF(AND(E776&lt;&gt;"",G776&lt;&gt;"",J776&gt;0),IF(I776&gt;=Inputs!$B$6,1,0),0)</f>
        <v>1</v>
      </c>
      <c r="L776" s="5" t="n">
        <v>0</v>
      </c>
      <c r="M776" s="5" t="n">
        <v>2123.4735</v>
      </c>
      <c r="N776" s="5" t="n">
        <v>10.78</v>
      </c>
      <c r="O776" s="4" t="s">
        <v>64</v>
      </c>
      <c r="P776" s="2" t="n">
        <f aca="false">IF(K776=1,J776/G776^2,0)</f>
        <v>0.512251036775608</v>
      </c>
      <c r="Q776" s="2" t="n">
        <f aca="false">IF(K776=1,((E776-Result!$B$7*D776)/G776)^2,0)</f>
        <v>0.15008882667742</v>
      </c>
    </row>
    <row r="777" customFormat="false" ht="15" hidden="false" customHeight="false" outlineLevel="0" collapsed="false">
      <c r="A777" s="4" t="s">
        <v>38</v>
      </c>
      <c r="B777" s="4" t="s">
        <v>843</v>
      </c>
      <c r="C777" s="4" t="s">
        <v>63</v>
      </c>
      <c r="D777" s="5" t="n">
        <v>1195.8466</v>
      </c>
      <c r="E777" s="5" t="n">
        <v>4.52</v>
      </c>
      <c r="F777" s="5" t="n">
        <v>0.00507368799165994</v>
      </c>
      <c r="G777" s="5" t="n">
        <v>1.3972</v>
      </c>
      <c r="H777" s="2" t="n">
        <f aca="false">D777*F777</f>
        <v>6.06735253428737</v>
      </c>
      <c r="I777" s="2" t="n">
        <f aca="false">IF(G777="","",D777*1000000/Inputs!$B$4^2*Inputs!$B$5/G777)</f>
        <v>4.34937465248031</v>
      </c>
      <c r="J777" s="2" t="n">
        <f aca="false">IF(C777="A",Inputs!$B$7,IF(C777="B",Inputs!$B$8,IF(C777="C",Inputs!$B$9,0)))</f>
        <v>1</v>
      </c>
      <c r="K777" s="2" t="n">
        <f aca="false">IF(AND(E777&lt;&gt;"",G777&lt;&gt;"",J777&gt;0),IF(I777&gt;=Inputs!$B$6,1,0),0)</f>
        <v>1</v>
      </c>
      <c r="L777" s="5" t="n">
        <v>1</v>
      </c>
      <c r="M777" s="5" t="n">
        <v>1195.8435</v>
      </c>
      <c r="N777" s="5" t="n">
        <v>6.07</v>
      </c>
      <c r="O777" s="4" t="s">
        <v>64</v>
      </c>
      <c r="P777" s="2" t="n">
        <f aca="false">IF(K777=1,J777/G777^2,0)</f>
        <v>0.512251036775608</v>
      </c>
      <c r="Q777" s="2" t="n">
        <f aca="false">IF(K777=1,((E777-Result!$B$7*D777)/G777)^2,0)</f>
        <v>1.18881315531962</v>
      </c>
    </row>
    <row r="778" customFormat="false" ht="15" hidden="false" customHeight="false" outlineLevel="0" collapsed="false">
      <c r="A778" s="4" t="s">
        <v>38</v>
      </c>
      <c r="B778" s="4" t="s">
        <v>844</v>
      </c>
      <c r="C778" s="4" t="s">
        <v>63</v>
      </c>
      <c r="D778" s="5" t="n">
        <v>1461.477</v>
      </c>
      <c r="E778" s="5" t="n">
        <v>7.17</v>
      </c>
      <c r="F778" s="5" t="n">
        <v>0.00507366635297532</v>
      </c>
      <c r="G778" s="5" t="n">
        <v>1.3972</v>
      </c>
      <c r="H778" s="2" t="n">
        <f aca="false">D778*F778</f>
        <v>7.41504668054732</v>
      </c>
      <c r="I778" s="2" t="n">
        <f aca="false">IF(G778="","",D778*1000000/Inputs!$B$4^2*Inputs!$B$5/G778)</f>
        <v>5.31549031370995</v>
      </c>
      <c r="J778" s="2" t="n">
        <f aca="false">IF(C778="A",Inputs!$B$7,IF(C778="B",Inputs!$B$8,IF(C778="C",Inputs!$B$9,0)))</f>
        <v>1</v>
      </c>
      <c r="K778" s="2" t="n">
        <f aca="false">IF(AND(E778&lt;&gt;"",G778&lt;&gt;"",J778&gt;0),IF(I778&gt;=Inputs!$B$6,1,0),0)</f>
        <v>1</v>
      </c>
      <c r="L778" s="5" t="n">
        <v>1</v>
      </c>
      <c r="M778" s="5" t="n">
        <v>1461.4741</v>
      </c>
      <c r="N778" s="5" t="n">
        <v>7.42</v>
      </c>
      <c r="O778" s="4" t="s">
        <v>64</v>
      </c>
      <c r="P778" s="2" t="n">
        <f aca="false">IF(K778=1,J778/G778^2,0)</f>
        <v>0.512251036775608</v>
      </c>
      <c r="Q778" s="2" t="n">
        <f aca="false">IF(K778=1,((E778-Result!$B$7*D778)/G778)^2,0)</f>
        <v>0.0238578604983132</v>
      </c>
    </row>
    <row r="779" customFormat="false" ht="15" hidden="false" customHeight="false" outlineLevel="0" collapsed="false">
      <c r="A779" s="4" t="s">
        <v>38</v>
      </c>
      <c r="B779" s="4" t="s">
        <v>845</v>
      </c>
      <c r="C779" s="4" t="s">
        <v>63</v>
      </c>
      <c r="D779" s="5" t="n">
        <v>960.411</v>
      </c>
      <c r="E779" s="5" t="n">
        <v>6.4</v>
      </c>
      <c r="F779" s="5" t="n">
        <v>0.00507390953458347</v>
      </c>
      <c r="G779" s="5" t="n">
        <v>1.3972</v>
      </c>
      <c r="H779" s="2" t="n">
        <f aca="false">D779*F779</f>
        <v>4.87303853001884</v>
      </c>
      <c r="I779" s="2" t="n">
        <f aca="false">IF(G779="","",D779*1000000/Inputs!$B$4^2*Inputs!$B$5/G779)</f>
        <v>3.49307951317775</v>
      </c>
      <c r="J779" s="2" t="n">
        <f aca="false">IF(C779="A",Inputs!$B$7,IF(C779="B",Inputs!$B$8,IF(C779="C",Inputs!$B$9,0)))</f>
        <v>1</v>
      </c>
      <c r="K779" s="2" t="n">
        <f aca="false">IF(AND(E779&lt;&gt;"",G779&lt;&gt;"",J779&gt;0),IF(I779&gt;=Inputs!$B$6,1,0),0)</f>
        <v>1</v>
      </c>
      <c r="L779" s="5" t="n">
        <v>0</v>
      </c>
      <c r="M779" s="5" t="n">
        <v>960.4074</v>
      </c>
      <c r="N779" s="5" t="n">
        <v>4.87</v>
      </c>
      <c r="O779" s="4" t="s">
        <v>64</v>
      </c>
      <c r="P779" s="2" t="n">
        <f aca="false">IF(K779=1,J779/G779^2,0)</f>
        <v>0.512251036775608</v>
      </c>
      <c r="Q779" s="2" t="n">
        <f aca="false">IF(K779=1,((E779-Result!$B$7*D779)/G779)^2,0)</f>
        <v>1.224984179383</v>
      </c>
    </row>
    <row r="780" customFormat="false" ht="15" hidden="false" customHeight="false" outlineLevel="0" collapsed="false">
      <c r="A780" s="4" t="s">
        <v>38</v>
      </c>
      <c r="B780" s="4" t="s">
        <v>846</v>
      </c>
      <c r="C780" s="4" t="s">
        <v>63</v>
      </c>
      <c r="D780" s="5" t="n">
        <v>964.2078</v>
      </c>
      <c r="E780" s="5" t="n">
        <v>4.27</v>
      </c>
      <c r="F780" s="5" t="n">
        <v>0.00507410298164873</v>
      </c>
      <c r="G780" s="5" t="n">
        <v>1.3972</v>
      </c>
      <c r="H780" s="2" t="n">
        <f aca="false">D780*F780</f>
        <v>4.89248967290896</v>
      </c>
      <c r="I780" s="2" t="n">
        <f aca="false">IF(G780="","",D780*1000000/Inputs!$B$4^2*Inputs!$B$5/G780)</f>
        <v>3.50688873058117</v>
      </c>
      <c r="J780" s="2" t="n">
        <f aca="false">IF(C780="A",Inputs!$B$7,IF(C780="B",Inputs!$B$8,IF(C780="C",Inputs!$B$9,0)))</f>
        <v>1</v>
      </c>
      <c r="K780" s="2" t="n">
        <f aca="false">IF(AND(E780&lt;&gt;"",G780&lt;&gt;"",J780&gt;0),IF(I780&gt;=Inputs!$B$6,1,0),0)</f>
        <v>1</v>
      </c>
      <c r="L780" s="5" t="n">
        <v>0</v>
      </c>
      <c r="M780" s="5" t="n">
        <v>964.2038</v>
      </c>
      <c r="N780" s="5" t="n">
        <v>4.89</v>
      </c>
      <c r="O780" s="4" t="s">
        <v>64</v>
      </c>
      <c r="P780" s="2" t="n">
        <f aca="false">IF(K780=1,J780/G780^2,0)</f>
        <v>0.512251036775608</v>
      </c>
      <c r="Q780" s="2" t="n">
        <f aca="false">IF(K780=1,((E780-Result!$B$7*D780)/G780)^2,0)</f>
        <v>0.186123639979086</v>
      </c>
    </row>
    <row r="781" customFormat="false" ht="15" hidden="false" customHeight="false" outlineLevel="0" collapsed="false">
      <c r="A781" s="4" t="s">
        <v>38</v>
      </c>
      <c r="B781" s="4" t="s">
        <v>847</v>
      </c>
      <c r="C781" s="4" t="s">
        <v>63</v>
      </c>
      <c r="D781" s="5" t="n">
        <v>812.6273</v>
      </c>
      <c r="E781" s="5" t="n">
        <v>4.96</v>
      </c>
      <c r="F781" s="5" t="n">
        <v>0.00507399073665331</v>
      </c>
      <c r="G781" s="5" t="n">
        <v>1.3972</v>
      </c>
      <c r="H781" s="2" t="n">
        <f aca="false">D781*F781</f>
        <v>4.12326339255159</v>
      </c>
      <c r="I781" s="2" t="n">
        <f aca="false">IF(G781="","",D781*1000000/Inputs!$B$4^2*Inputs!$B$5/G781)</f>
        <v>2.95558023958384</v>
      </c>
      <c r="J781" s="2" t="n">
        <f aca="false">IF(C781="A",Inputs!$B$7,IF(C781="B",Inputs!$B$8,IF(C781="C",Inputs!$B$9,0)))</f>
        <v>1</v>
      </c>
      <c r="K781" s="2" t="n">
        <f aca="false">IF(AND(E781&lt;&gt;"",G781&lt;&gt;"",J781&gt;0),IF(I781&gt;=Inputs!$B$6,1,0),0)</f>
        <v>1</v>
      </c>
      <c r="L781" s="5" t="n">
        <v>1</v>
      </c>
      <c r="M781" s="5" t="n">
        <v>812.6219</v>
      </c>
      <c r="N781" s="5" t="n">
        <v>4.12</v>
      </c>
      <c r="O781" s="4" t="s">
        <v>64</v>
      </c>
      <c r="P781" s="2" t="n">
        <f aca="false">IF(K781=1,J781/G781^2,0)</f>
        <v>0.512251036775608</v>
      </c>
      <c r="Q781" s="2" t="n">
        <f aca="false">IF(K781=1,((E781-Result!$B$7*D781)/G781)^2,0)</f>
        <v>0.37294218549017</v>
      </c>
    </row>
    <row r="782" customFormat="false" ht="15" hidden="false" customHeight="false" outlineLevel="0" collapsed="false">
      <c r="A782" s="4" t="s">
        <v>38</v>
      </c>
      <c r="B782" s="4" t="s">
        <v>848</v>
      </c>
      <c r="C782" s="4" t="s">
        <v>63</v>
      </c>
      <c r="D782" s="5" t="n">
        <v>1111.9954</v>
      </c>
      <c r="E782" s="5" t="n">
        <v>5.71</v>
      </c>
      <c r="F782" s="5" t="n">
        <v>0.00507401742597073</v>
      </c>
      <c r="G782" s="5" t="n">
        <v>1.3972</v>
      </c>
      <c r="H782" s="2" t="n">
        <f aca="false">D782*F782</f>
        <v>5.6422840371993</v>
      </c>
      <c r="I782" s="2" t="n">
        <f aca="false">IF(G782="","",D782*1000000/Inputs!$B$4^2*Inputs!$B$5/G782)</f>
        <v>4.04440218873784</v>
      </c>
      <c r="J782" s="2" t="n">
        <f aca="false">IF(C782="A",Inputs!$B$7,IF(C782="B",Inputs!$B$8,IF(C782="C",Inputs!$B$9,0)))</f>
        <v>1</v>
      </c>
      <c r="K782" s="2" t="n">
        <f aca="false">IF(AND(E782&lt;&gt;"",G782&lt;&gt;"",J782&gt;0),IF(I782&gt;=Inputs!$B$6,1,0),0)</f>
        <v>1</v>
      </c>
      <c r="L782" s="5" t="n">
        <v>1</v>
      </c>
      <c r="M782" s="5" t="n">
        <v>1111.9893</v>
      </c>
      <c r="N782" s="5" t="n">
        <v>5.64</v>
      </c>
      <c r="O782" s="4" t="s">
        <v>64</v>
      </c>
      <c r="P782" s="2" t="n">
        <f aca="false">IF(K782=1,J782/G782^2,0)</f>
        <v>0.512251036775608</v>
      </c>
      <c r="Q782" s="2" t="n">
        <f aca="false">IF(K782=1,((E782-Result!$B$7*D782)/G782)^2,0)</f>
        <v>0.00418162831438654</v>
      </c>
    </row>
    <row r="783" customFormat="false" ht="15" hidden="false" customHeight="false" outlineLevel="0" collapsed="false">
      <c r="A783" s="4" t="s">
        <v>38</v>
      </c>
      <c r="B783" s="4" t="s">
        <v>849</v>
      </c>
      <c r="C783" s="4" t="s">
        <v>63</v>
      </c>
      <c r="D783" s="5" t="n">
        <v>411.8616</v>
      </c>
      <c r="E783" s="5" t="n">
        <v>3.24</v>
      </c>
      <c r="F783" s="5" t="n">
        <v>0.00507392854589861</v>
      </c>
      <c r="G783" s="5" t="n">
        <v>1.3972</v>
      </c>
      <c r="H783" s="2" t="n">
        <f aca="false">D783*F783</f>
        <v>2.08975632919947</v>
      </c>
      <c r="I783" s="2" t="n">
        <f aca="false">IF(G783="","",D783*1000000/Inputs!$B$4^2*Inputs!$B$5/G783)</f>
        <v>1.49796838772631</v>
      </c>
      <c r="J783" s="2" t="n">
        <f aca="false">IF(C783="A",Inputs!$B$7,IF(C783="B",Inputs!$B$8,IF(C783="C",Inputs!$B$9,0)))</f>
        <v>1</v>
      </c>
      <c r="K783" s="2" t="n">
        <f aca="false">IF(AND(E783&lt;&gt;"",G783&lt;&gt;"",J783&gt;0),IF(I783&gt;=Inputs!$B$6,1,0),0)</f>
        <v>0</v>
      </c>
      <c r="L783" s="5" t="n">
        <v>0</v>
      </c>
      <c r="M783" s="5" t="n">
        <v>411.8573</v>
      </c>
      <c r="N783" s="5" t="n">
        <v>2.09</v>
      </c>
      <c r="O783" s="4" t="s">
        <v>64</v>
      </c>
      <c r="P783" s="2" t="n">
        <f aca="false">IF(K783=1,J783/G783^2,0)</f>
        <v>0</v>
      </c>
      <c r="Q783" s="2" t="n">
        <f aca="false">IF(K783=1,((E783-Result!$B$7*D783)/G783)^2,0)</f>
        <v>0</v>
      </c>
    </row>
    <row r="784" customFormat="false" ht="15" hidden="false" customHeight="false" outlineLevel="0" collapsed="false">
      <c r="A784" s="4" t="s">
        <v>38</v>
      </c>
      <c r="B784" s="4" t="s">
        <v>850</v>
      </c>
      <c r="C784" s="4" t="s">
        <v>63</v>
      </c>
      <c r="D784" s="5" t="n">
        <v>316.0664</v>
      </c>
      <c r="E784" s="5" t="n">
        <v>2.7</v>
      </c>
      <c r="F784" s="5" t="n">
        <v>0.00507403643110639</v>
      </c>
      <c r="G784" s="5" t="n">
        <v>1.3972</v>
      </c>
      <c r="H784" s="2" t="n">
        <f aca="false">D784*F784</f>
        <v>1.60373242824865</v>
      </c>
      <c r="I784" s="2" t="n">
        <f aca="false">IF(G784="","",D784*1000000/Inputs!$B$4^2*Inputs!$B$5/G784)</f>
        <v>1.14955479127566</v>
      </c>
      <c r="J784" s="2" t="n">
        <f aca="false">IF(C784="A",Inputs!$B$7,IF(C784="B",Inputs!$B$8,IF(C784="C",Inputs!$B$9,0)))</f>
        <v>1</v>
      </c>
      <c r="K784" s="2" t="n">
        <f aca="false">IF(AND(E784&lt;&gt;"",G784&lt;&gt;"",J784&gt;0),IF(I784&gt;=Inputs!$B$6,1,0),0)</f>
        <v>0</v>
      </c>
      <c r="L784" s="5" t="n">
        <v>0</v>
      </c>
      <c r="M784" s="5" t="n">
        <v>316.0638</v>
      </c>
      <c r="N784" s="5" t="n">
        <v>1.6</v>
      </c>
      <c r="O784" s="4" t="s">
        <v>64</v>
      </c>
      <c r="P784" s="2" t="n">
        <f aca="false">IF(K784=1,J784/G784^2,0)</f>
        <v>0</v>
      </c>
      <c r="Q784" s="2" t="n">
        <f aca="false">IF(K784=1,((E784-Result!$B$7*D784)/G784)^2,0)</f>
        <v>0</v>
      </c>
    </row>
    <row r="785" customFormat="false" ht="15" hidden="false" customHeight="false" outlineLevel="0" collapsed="false">
      <c r="A785" s="4" t="s">
        <v>38</v>
      </c>
      <c r="B785" s="4" t="s">
        <v>851</v>
      </c>
      <c r="C785" s="4" t="s">
        <v>63</v>
      </c>
      <c r="D785" s="5" t="n">
        <v>84.7021</v>
      </c>
      <c r="E785" s="5" t="n">
        <v>-0.98</v>
      </c>
      <c r="F785" s="5" t="n">
        <v>0.00507412198174553</v>
      </c>
      <c r="G785" s="5" t="n">
        <v>1.3972</v>
      </c>
      <c r="H785" s="2" t="n">
        <f aca="false">D785*F785</f>
        <v>0.429788787510008</v>
      </c>
      <c r="I785" s="2" t="n">
        <f aca="false">IF(G785="","",D785*1000000/Inputs!$B$4^2*Inputs!$B$5/G785)</f>
        <v>0.308067244370518</v>
      </c>
      <c r="J785" s="2" t="n">
        <f aca="false">IF(C785="A",Inputs!$B$7,IF(C785="B",Inputs!$B$8,IF(C785="C",Inputs!$B$9,0)))</f>
        <v>1</v>
      </c>
      <c r="K785" s="2" t="n">
        <f aca="false">IF(AND(E785&lt;&gt;"",G785&lt;&gt;"",J785&gt;0),IF(I785&gt;=Inputs!$B$6,1,0),0)</f>
        <v>0</v>
      </c>
      <c r="L785" s="5" t="n">
        <v>0</v>
      </c>
      <c r="M785" s="5" t="n">
        <v>84.7008</v>
      </c>
      <c r="N785" s="5" t="n">
        <v>0.43</v>
      </c>
      <c r="O785" s="4" t="s">
        <v>64</v>
      </c>
      <c r="P785" s="2" t="n">
        <f aca="false">IF(K785=1,J785/G785^2,0)</f>
        <v>0</v>
      </c>
      <c r="Q785" s="2" t="n">
        <f aca="false">IF(K785=1,((E785-Result!$B$7*D785)/G785)^2,0)</f>
        <v>0</v>
      </c>
    </row>
    <row r="786" customFormat="false" ht="15" hidden="false" customHeight="false" outlineLevel="0" collapsed="false">
      <c r="A786" s="4" t="s">
        <v>38</v>
      </c>
      <c r="B786" s="4" t="s">
        <v>852</v>
      </c>
      <c r="C786" s="4" t="s">
        <v>63</v>
      </c>
      <c r="D786" s="5" t="n">
        <v>190.6748</v>
      </c>
      <c r="E786" s="5" t="n">
        <v>2.25</v>
      </c>
      <c r="F786" s="5" t="n">
        <v>0.00507399177286357</v>
      </c>
      <c r="G786" s="5" t="n">
        <v>1.3972</v>
      </c>
      <c r="H786" s="2" t="n">
        <f aca="false">D786*F786</f>
        <v>0.967482366492406</v>
      </c>
      <c r="I786" s="2" t="n">
        <f aca="false">IF(G786="","",D786*1000000/Inputs!$B$4^2*Inputs!$B$5/G786)</f>
        <v>0.693497094014193</v>
      </c>
      <c r="J786" s="2" t="n">
        <f aca="false">IF(C786="A",Inputs!$B$7,IF(C786="B",Inputs!$B$8,IF(C786="C",Inputs!$B$9,0)))</f>
        <v>1</v>
      </c>
      <c r="K786" s="2" t="n">
        <f aca="false">IF(AND(E786&lt;&gt;"",G786&lt;&gt;"",J786&gt;0),IF(I786&gt;=Inputs!$B$6,1,0),0)</f>
        <v>0</v>
      </c>
      <c r="L786" s="5" t="n">
        <v>0</v>
      </c>
      <c r="M786" s="5" t="n">
        <v>190.6723</v>
      </c>
      <c r="N786" s="5" t="n">
        <v>0.97</v>
      </c>
      <c r="O786" s="4" t="s">
        <v>64</v>
      </c>
      <c r="P786" s="2" t="n">
        <f aca="false">IF(K786=1,J786/G786^2,0)</f>
        <v>0</v>
      </c>
      <c r="Q786" s="2" t="n">
        <f aca="false">IF(K786=1,((E786-Result!$B$7*D786)/G786)^2,0)</f>
        <v>0</v>
      </c>
    </row>
    <row r="787" customFormat="false" ht="15" hidden="false" customHeight="false" outlineLevel="0" collapsed="false">
      <c r="A787" s="4" t="s">
        <v>38</v>
      </c>
      <c r="B787" s="4" t="s">
        <v>853</v>
      </c>
      <c r="C787" s="4" t="s">
        <v>63</v>
      </c>
      <c r="D787" s="5" t="n">
        <v>129.131</v>
      </c>
      <c r="E787" s="5" t="n">
        <v>0.55</v>
      </c>
      <c r="F787" s="5" t="n">
        <v>0.00507397810898422</v>
      </c>
      <c r="G787" s="5" t="n">
        <v>1.3972</v>
      </c>
      <c r="H787" s="2" t="n">
        <f aca="false">D787*F787</f>
        <v>0.655207867191242</v>
      </c>
      <c r="I787" s="2" t="n">
        <f aca="false">IF(G787="","",D787*1000000/Inputs!$B$4^2*Inputs!$B$5/G787)</f>
        <v>0.469658146997646</v>
      </c>
      <c r="J787" s="2" t="n">
        <f aca="false">IF(C787="A",Inputs!$B$7,IF(C787="B",Inputs!$B$8,IF(C787="C",Inputs!$B$9,0)))</f>
        <v>1</v>
      </c>
      <c r="K787" s="2" t="n">
        <f aca="false">IF(AND(E787&lt;&gt;"",G787&lt;&gt;"",J787&gt;0),IF(I787&gt;=Inputs!$B$6,1,0),0)</f>
        <v>0</v>
      </c>
      <c r="L787" s="5" t="n">
        <v>0</v>
      </c>
      <c r="M787" s="5" t="n">
        <v>129.1295</v>
      </c>
      <c r="N787" s="5" t="n">
        <v>0.66</v>
      </c>
      <c r="O787" s="4" t="s">
        <v>64</v>
      </c>
      <c r="P787" s="2" t="n">
        <f aca="false">IF(K787=1,J787/G787^2,0)</f>
        <v>0</v>
      </c>
      <c r="Q787" s="2" t="n">
        <f aca="false">IF(K787=1,((E787-Result!$B$7*D787)/G787)^2,0)</f>
        <v>0</v>
      </c>
    </row>
    <row r="788" customFormat="false" ht="15" hidden="false" customHeight="false" outlineLevel="0" collapsed="false">
      <c r="A788" s="4" t="s">
        <v>38</v>
      </c>
      <c r="B788" s="4" t="s">
        <v>854</v>
      </c>
      <c r="C788" s="4" t="s">
        <v>63</v>
      </c>
      <c r="D788" s="5" t="n">
        <v>1546.208</v>
      </c>
      <c r="E788" s="5" t="n">
        <v>6.23</v>
      </c>
      <c r="F788" s="5" t="n">
        <v>0.00507333431687737</v>
      </c>
      <c r="G788" s="5" t="n">
        <v>1.3972</v>
      </c>
      <c r="H788" s="2" t="n">
        <f aca="false">D788*F788</f>
        <v>7.84443010743032</v>
      </c>
      <c r="I788" s="2" t="n">
        <f aca="false">IF(G788="","",D788*1000000/Inputs!$B$4^2*Inputs!$B$5/G788)</f>
        <v>5.62366266932756</v>
      </c>
      <c r="J788" s="2" t="n">
        <f aca="false">IF(C788="A",Inputs!$B$7,IF(C788="B",Inputs!$B$8,IF(C788="C",Inputs!$B$9,0)))</f>
        <v>1</v>
      </c>
      <c r="K788" s="2" t="n">
        <f aca="false">IF(AND(E788&lt;&gt;"",G788&lt;&gt;"",J788&gt;0),IF(I788&gt;=Inputs!$B$6,1,0),0)</f>
        <v>1</v>
      </c>
      <c r="L788" s="5" t="n">
        <v>0</v>
      </c>
      <c r="M788" s="5" t="n">
        <v>1546.2064</v>
      </c>
      <c r="N788" s="5" t="n">
        <v>7.85</v>
      </c>
      <c r="O788" s="4" t="s">
        <v>64</v>
      </c>
      <c r="P788" s="2" t="n">
        <f aca="false">IF(K788=1,J788/G788^2,0)</f>
        <v>0.512251036775608</v>
      </c>
      <c r="Q788" s="2" t="n">
        <f aca="false">IF(K788=1,((E788-Result!$B$7*D788)/G788)^2,0)</f>
        <v>1.28528802442571</v>
      </c>
    </row>
    <row r="789" customFormat="false" ht="15" hidden="false" customHeight="false" outlineLevel="0" collapsed="false">
      <c r="A789" s="4" t="s">
        <v>38</v>
      </c>
      <c r="B789" s="4" t="s">
        <v>855</v>
      </c>
      <c r="C789" s="4" t="s">
        <v>63</v>
      </c>
      <c r="D789" s="5" t="n">
        <v>1051.2966</v>
      </c>
      <c r="E789" s="5" t="n">
        <v>3.99</v>
      </c>
      <c r="F789" s="5" t="n">
        <v>0.00507344015122665</v>
      </c>
      <c r="G789" s="5" t="n">
        <v>1.3972</v>
      </c>
      <c r="H789" s="2" t="n">
        <f aca="false">D789*F789</f>
        <v>5.33369038128806</v>
      </c>
      <c r="I789" s="2" t="n">
        <f aca="false">IF(G789="","",D789*1000000/Inputs!$B$4^2*Inputs!$B$5/G789)</f>
        <v>3.82363656365184</v>
      </c>
      <c r="J789" s="2" t="n">
        <f aca="false">IF(C789="A",Inputs!$B$7,IF(C789="B",Inputs!$B$8,IF(C789="C",Inputs!$B$9,0)))</f>
        <v>1</v>
      </c>
      <c r="K789" s="2" t="n">
        <f aca="false">IF(AND(E789&lt;&gt;"",G789&lt;&gt;"",J789&gt;0),IF(I789&gt;=Inputs!$B$6,1,0),0)</f>
        <v>1</v>
      </c>
      <c r="L789" s="5" t="n">
        <v>1</v>
      </c>
      <c r="M789" s="5" t="n">
        <v>1051.2987</v>
      </c>
      <c r="N789" s="5" t="n">
        <v>5.33</v>
      </c>
      <c r="O789" s="4" t="s">
        <v>64</v>
      </c>
      <c r="P789" s="2" t="n">
        <f aca="false">IF(K789=1,J789/G789^2,0)</f>
        <v>0.512251036775608</v>
      </c>
      <c r="Q789" s="2" t="n">
        <f aca="false">IF(K789=1,((E789-Result!$B$7*D789)/G789)^2,0)</f>
        <v>0.89646973931377</v>
      </c>
    </row>
    <row r="790" customFormat="false" ht="15" hidden="false" customHeight="false" outlineLevel="0" collapsed="false">
      <c r="A790" s="4" t="s">
        <v>38</v>
      </c>
      <c r="B790" s="4" t="s">
        <v>856</v>
      </c>
      <c r="C790" s="4" t="s">
        <v>63</v>
      </c>
      <c r="D790" s="5" t="n">
        <v>1940.9968</v>
      </c>
      <c r="E790" s="5" t="n">
        <v>10.95</v>
      </c>
      <c r="F790" s="5" t="n">
        <v>0.00507353774585653</v>
      </c>
      <c r="G790" s="5" t="n">
        <v>1.3972</v>
      </c>
      <c r="H790" s="2" t="n">
        <f aca="false">D790*F790</f>
        <v>9.84772052938674</v>
      </c>
      <c r="I790" s="2" t="n">
        <f aca="false">IF(G790="","",D790*1000000/Inputs!$B$4^2*Inputs!$B$5/G790)</f>
        <v>7.05953613320087</v>
      </c>
      <c r="J790" s="2" t="n">
        <f aca="false">IF(C790="A",Inputs!$B$7,IF(C790="B",Inputs!$B$8,IF(C790="C",Inputs!$B$9,0)))</f>
        <v>1</v>
      </c>
      <c r="K790" s="2" t="n">
        <f aca="false">IF(AND(E790&lt;&gt;"",G790&lt;&gt;"",J790&gt;0),IF(I790&gt;=Inputs!$B$6,1,0),0)</f>
        <v>1</v>
      </c>
      <c r="L790" s="5" t="n">
        <v>1</v>
      </c>
      <c r="M790" s="5" t="n">
        <v>1941.0058</v>
      </c>
      <c r="N790" s="5" t="n">
        <v>9.85</v>
      </c>
      <c r="O790" s="4" t="s">
        <v>64</v>
      </c>
      <c r="P790" s="2" t="n">
        <f aca="false">IF(K790=1,J790/G790^2,0)</f>
        <v>0.512251036775608</v>
      </c>
      <c r="Q790" s="2" t="n">
        <f aca="false">IF(K790=1,((E790-Result!$B$7*D790)/G790)^2,0)</f>
        <v>0.666723259129648</v>
      </c>
    </row>
    <row r="791" customFormat="false" ht="15" hidden="false" customHeight="false" outlineLevel="0" collapsed="false">
      <c r="A791" s="4" t="s">
        <v>38</v>
      </c>
      <c r="B791" s="4" t="s">
        <v>857</v>
      </c>
      <c r="C791" s="4" t="s">
        <v>63</v>
      </c>
      <c r="D791" s="5" t="n">
        <v>1446.1021</v>
      </c>
      <c r="E791" s="5" t="n">
        <v>8.71</v>
      </c>
      <c r="F791" s="5" t="n">
        <v>0.00507368467993021</v>
      </c>
      <c r="G791" s="5" t="n">
        <v>1.3972</v>
      </c>
      <c r="H791" s="2" t="n">
        <f aca="false">D791*F791</f>
        <v>7.33706607038491</v>
      </c>
      <c r="I791" s="2" t="n">
        <f aca="false">IF(G791="","",D791*1000000/Inputs!$B$4^2*Inputs!$B$5/G791)</f>
        <v>5.25957076655029</v>
      </c>
      <c r="J791" s="2" t="n">
        <f aca="false">IF(C791="A",Inputs!$B$7,IF(C791="B",Inputs!$B$8,IF(C791="C",Inputs!$B$9,0)))</f>
        <v>1</v>
      </c>
      <c r="K791" s="2" t="n">
        <f aca="false">IF(AND(E791&lt;&gt;"",G791&lt;&gt;"",J791&gt;0),IF(I791&gt;=Inputs!$B$6,1,0),0)</f>
        <v>1</v>
      </c>
      <c r="L791" s="5" t="n">
        <v>0</v>
      </c>
      <c r="M791" s="5" t="n">
        <v>1446.098</v>
      </c>
      <c r="N791" s="5" t="n">
        <v>7.34</v>
      </c>
      <c r="O791" s="4" t="s">
        <v>64</v>
      </c>
      <c r="P791" s="2" t="n">
        <f aca="false">IF(K791=1,J791/G791^2,0)</f>
        <v>0.512251036775608</v>
      </c>
      <c r="Q791" s="2" t="n">
        <f aca="false">IF(K791=1,((E791-Result!$B$7*D791)/G791)^2,0)</f>
        <v>1.00672208442643</v>
      </c>
    </row>
    <row r="792" customFormat="false" ht="15" hidden="false" customHeight="false" outlineLevel="0" collapsed="false">
      <c r="A792" s="4" t="s">
        <v>38</v>
      </c>
      <c r="B792" s="4" t="s">
        <v>858</v>
      </c>
      <c r="C792" s="4" t="s">
        <v>63</v>
      </c>
      <c r="D792" s="5" t="n">
        <v>677.5471</v>
      </c>
      <c r="E792" s="5" t="n">
        <v>4.4</v>
      </c>
      <c r="F792" s="5" t="n">
        <v>0.00507395649069417</v>
      </c>
      <c r="G792" s="5" t="n">
        <v>1.3972</v>
      </c>
      <c r="H792" s="2" t="n">
        <f aca="false">D792*F792</f>
        <v>3.43784450579601</v>
      </c>
      <c r="I792" s="2" t="n">
        <f aca="false">IF(G792="","",D792*1000000/Inputs!$B$4^2*Inputs!$B$5/G792)</f>
        <v>2.46428445136821</v>
      </c>
      <c r="J792" s="2" t="n">
        <f aca="false">IF(C792="A",Inputs!$B$7,IF(C792="B",Inputs!$B$8,IF(C792="C",Inputs!$B$9,0)))</f>
        <v>1</v>
      </c>
      <c r="K792" s="2" t="n">
        <f aca="false">IF(AND(E792&lt;&gt;"",G792&lt;&gt;"",J792&gt;0),IF(I792&gt;=Inputs!$B$6,1,0),0)</f>
        <v>1</v>
      </c>
      <c r="L792" s="5" t="n">
        <v>0</v>
      </c>
      <c r="M792" s="5" t="n">
        <v>677.5419</v>
      </c>
      <c r="N792" s="5" t="n">
        <v>3.44</v>
      </c>
      <c r="O792" s="4" t="s">
        <v>64</v>
      </c>
      <c r="P792" s="2" t="n">
        <f aca="false">IF(K792=1,J792/G792^2,0)</f>
        <v>0.512251036775608</v>
      </c>
      <c r="Q792" s="2" t="n">
        <f aca="false">IF(K792=1,((E792-Result!$B$7*D792)/G792)^2,0)</f>
        <v>0.48786374907915</v>
      </c>
    </row>
    <row r="793" customFormat="false" ht="15" hidden="false" customHeight="false" outlineLevel="0" collapsed="false">
      <c r="A793" s="4" t="s">
        <v>38</v>
      </c>
      <c r="B793" s="4" t="s">
        <v>859</v>
      </c>
      <c r="C793" s="4" t="s">
        <v>63</v>
      </c>
      <c r="D793" s="5" t="n">
        <v>705.3664</v>
      </c>
      <c r="E793" s="5" t="n">
        <v>3.8</v>
      </c>
      <c r="F793" s="5" t="n">
        <v>0.00507410236437605</v>
      </c>
      <c r="G793" s="5" t="n">
        <v>1.3972</v>
      </c>
      <c r="H793" s="2" t="n">
        <f aca="false">D793*F793</f>
        <v>3.57910131799142</v>
      </c>
      <c r="I793" s="2" t="n">
        <f aca="false">IF(G793="","",D793*1000000/Inputs!$B$4^2*Inputs!$B$5/G793)</f>
        <v>2.56546511974972</v>
      </c>
      <c r="J793" s="2" t="n">
        <f aca="false">IF(C793="A",Inputs!$B$7,IF(C793="B",Inputs!$B$8,IF(C793="C",Inputs!$B$9,0)))</f>
        <v>1</v>
      </c>
      <c r="K793" s="2" t="n">
        <f aca="false">IF(AND(E793&lt;&gt;"",G793&lt;&gt;"",J793&gt;0),IF(I793&gt;=Inputs!$B$6,1,0),0)</f>
        <v>1</v>
      </c>
      <c r="L793" s="5" t="n">
        <v>1</v>
      </c>
      <c r="M793" s="5" t="n">
        <v>705.3662</v>
      </c>
      <c r="N793" s="5" t="n">
        <v>3.58</v>
      </c>
      <c r="O793" s="4" t="s">
        <v>64</v>
      </c>
      <c r="P793" s="2" t="n">
        <f aca="false">IF(K793=1,J793/G793^2,0)</f>
        <v>0.512251036775608</v>
      </c>
      <c r="Q793" s="2" t="n">
        <f aca="false">IF(K793=1,((E793-Result!$B$7*D793)/G793)^2,0)</f>
        <v>0.0283652766919131</v>
      </c>
    </row>
    <row r="794" customFormat="false" ht="15" hidden="false" customHeight="false" outlineLevel="0" collapsed="false">
      <c r="A794" s="4" t="s">
        <v>38</v>
      </c>
      <c r="B794" s="4" t="s">
        <v>860</v>
      </c>
      <c r="C794" s="4" t="s">
        <v>63</v>
      </c>
      <c r="D794" s="5" t="n">
        <v>1310.6982</v>
      </c>
      <c r="E794" s="5" t="n">
        <v>6.76</v>
      </c>
      <c r="F794" s="5" t="n">
        <v>0.00507415827301504</v>
      </c>
      <c r="G794" s="5" t="n">
        <v>1.3972</v>
      </c>
      <c r="H794" s="2" t="n">
        <f aca="false">D794*F794</f>
        <v>6.65069011495592</v>
      </c>
      <c r="I794" s="2" t="n">
        <f aca="false">IF(G794="","",D794*1000000/Inputs!$B$4^2*Inputs!$B$5/G794)</f>
        <v>4.76709765962589</v>
      </c>
      <c r="J794" s="2" t="n">
        <f aca="false">IF(C794="A",Inputs!$B$7,IF(C794="B",Inputs!$B$8,IF(C794="C",Inputs!$B$9,0)))</f>
        <v>1</v>
      </c>
      <c r="K794" s="2" t="n">
        <f aca="false">IF(AND(E794&lt;&gt;"",G794&lt;&gt;"",J794&gt;0),IF(I794&gt;=Inputs!$B$6,1,0),0)</f>
        <v>1</v>
      </c>
      <c r="L794" s="5" t="n">
        <v>0</v>
      </c>
      <c r="M794" s="5" t="n">
        <v>1310.6997</v>
      </c>
      <c r="N794" s="5" t="n">
        <v>6.65</v>
      </c>
      <c r="O794" s="4" t="s">
        <v>64</v>
      </c>
      <c r="P794" s="2" t="n">
        <f aca="false">IF(K794=1,J794/G794^2,0)</f>
        <v>0.512251036775608</v>
      </c>
      <c r="Q794" s="2" t="n">
        <f aca="false">IF(K794=1,((E794-Result!$B$7*D794)/G794)^2,0)</f>
        <v>0.00949882405646789</v>
      </c>
    </row>
    <row r="795" customFormat="false" ht="15" hidden="false" customHeight="false" outlineLevel="0" collapsed="false">
      <c r="A795" s="4" t="s">
        <v>38</v>
      </c>
      <c r="B795" s="4" t="s">
        <v>861</v>
      </c>
      <c r="C795" s="4" t="s">
        <v>63</v>
      </c>
      <c r="D795" s="5" t="n">
        <v>1364.4305</v>
      </c>
      <c r="E795" s="5" t="n">
        <v>7.34</v>
      </c>
      <c r="F795" s="5" t="n">
        <v>0.00507430405392424</v>
      </c>
      <c r="G795" s="5" t="n">
        <v>1.3972</v>
      </c>
      <c r="H795" s="2" t="n">
        <f aca="false">D795*F795</f>
        <v>6.92353521744788</v>
      </c>
      <c r="I795" s="2" t="n">
        <f aca="false">IF(G795="","",D795*1000000/Inputs!$B$4^2*Inputs!$B$5/G795)</f>
        <v>4.96252565485493</v>
      </c>
      <c r="J795" s="2" t="n">
        <f aca="false">IF(C795="A",Inputs!$B$7,IF(C795="B",Inputs!$B$8,IF(C795="C",Inputs!$B$9,0)))</f>
        <v>1</v>
      </c>
      <c r="K795" s="2" t="n">
        <f aca="false">IF(AND(E795&lt;&gt;"",G795&lt;&gt;"",J795&gt;0),IF(I795&gt;=Inputs!$B$6,1,0),0)</f>
        <v>1</v>
      </c>
      <c r="L795" s="5" t="n">
        <v>1</v>
      </c>
      <c r="M795" s="5" t="n">
        <v>1364.4255</v>
      </c>
      <c r="N795" s="5" t="n">
        <v>6.93</v>
      </c>
      <c r="O795" s="4" t="s">
        <v>64</v>
      </c>
      <c r="P795" s="2" t="n">
        <f aca="false">IF(K795=1,J795/G795^2,0)</f>
        <v>0.512251036775608</v>
      </c>
      <c r="Q795" s="2" t="n">
        <f aca="false">IF(K795=1,((E795-Result!$B$7*D795)/G795)^2,0)</f>
        <v>0.101269386001263</v>
      </c>
    </row>
    <row r="796" customFormat="false" ht="15" hidden="false" customHeight="false" outlineLevel="0" collapsed="false">
      <c r="A796" s="4" t="s">
        <v>38</v>
      </c>
      <c r="B796" s="4" t="s">
        <v>862</v>
      </c>
      <c r="C796" s="4" t="s">
        <v>63</v>
      </c>
      <c r="D796" s="5" t="n">
        <v>1165.4744</v>
      </c>
      <c r="E796" s="5" t="n">
        <v>4.92</v>
      </c>
      <c r="F796" s="5" t="n">
        <v>0.00507448076357263</v>
      </c>
      <c r="G796" s="5" t="n">
        <v>1.3972</v>
      </c>
      <c r="H796" s="2" t="n">
        <f aca="false">D796*F796</f>
        <v>5.91417742323635</v>
      </c>
      <c r="I796" s="2" t="n">
        <f aca="false">IF(G796="","",D796*1000000/Inputs!$B$4^2*Inputs!$B$5/G796)</f>
        <v>4.2389089148012</v>
      </c>
      <c r="J796" s="2" t="n">
        <f aca="false">IF(C796="A",Inputs!$B$7,IF(C796="B",Inputs!$B$8,IF(C796="C",Inputs!$B$9,0)))</f>
        <v>1</v>
      </c>
      <c r="K796" s="2" t="n">
        <f aca="false">IF(AND(E796&lt;&gt;"",G796&lt;&gt;"",J796&gt;0),IF(I796&gt;=Inputs!$B$6,1,0),0)</f>
        <v>1</v>
      </c>
      <c r="L796" s="5" t="n">
        <v>1</v>
      </c>
      <c r="M796" s="5" t="n">
        <v>1165.4696</v>
      </c>
      <c r="N796" s="5" t="n">
        <v>5.91</v>
      </c>
      <c r="O796" s="4" t="s">
        <v>64</v>
      </c>
      <c r="P796" s="2" t="n">
        <f aca="false">IF(K796=1,J796/G796^2,0)</f>
        <v>0.512251036775608</v>
      </c>
      <c r="Q796" s="2" t="n">
        <f aca="false">IF(K796=1,((E796-Result!$B$7*D796)/G796)^2,0)</f>
        <v>0.4818916991135</v>
      </c>
    </row>
    <row r="797" customFormat="false" ht="15" hidden="false" customHeight="false" outlineLevel="0" collapsed="false">
      <c r="A797" s="4" t="s">
        <v>38</v>
      </c>
      <c r="B797" s="4" t="s">
        <v>863</v>
      </c>
      <c r="C797" s="4" t="s">
        <v>63</v>
      </c>
      <c r="D797" s="5" t="n">
        <v>390.6622</v>
      </c>
      <c r="E797" s="5" t="n">
        <v>4.46</v>
      </c>
      <c r="F797" s="5" t="n">
        <v>0.00507509101558758</v>
      </c>
      <c r="G797" s="5" t="n">
        <v>1.3972</v>
      </c>
      <c r="H797" s="2" t="n">
        <f aca="false">D797*F797</f>
        <v>1.98264622134968</v>
      </c>
      <c r="I797" s="2" t="n">
        <f aca="false">IF(G797="","",D797*1000000/Inputs!$B$4^2*Inputs!$B$5/G797)</f>
        <v>1.42086474165014</v>
      </c>
      <c r="J797" s="2" t="n">
        <f aca="false">IF(C797="A",Inputs!$B$7,IF(C797="B",Inputs!$B$8,IF(C797="C",Inputs!$B$9,0)))</f>
        <v>1</v>
      </c>
      <c r="K797" s="2" t="n">
        <f aca="false">IF(AND(E797&lt;&gt;"",G797&lt;&gt;"",J797&gt;0),IF(I797&gt;=Inputs!$B$6,1,0),0)</f>
        <v>0</v>
      </c>
      <c r="L797" s="5" t="n">
        <v>0</v>
      </c>
      <c r="M797" s="5" t="n">
        <v>390.9134</v>
      </c>
      <c r="N797" s="5" t="n">
        <v>1.98</v>
      </c>
      <c r="O797" s="4" t="s">
        <v>64</v>
      </c>
      <c r="P797" s="2" t="n">
        <f aca="false">IF(K797=1,J797/G797^2,0)</f>
        <v>0</v>
      </c>
      <c r="Q797" s="2" t="n">
        <f aca="false">IF(K797=1,((E797-Result!$B$7*D797)/G797)^2,0)</f>
        <v>0</v>
      </c>
    </row>
    <row r="798" customFormat="false" ht="15" hidden="false" customHeight="false" outlineLevel="0" collapsed="false">
      <c r="A798" s="4" t="s">
        <v>38</v>
      </c>
      <c r="B798" s="4" t="s">
        <v>864</v>
      </c>
      <c r="C798" s="4" t="s">
        <v>63</v>
      </c>
      <c r="D798" s="5" t="n">
        <v>403.3624</v>
      </c>
      <c r="E798" s="5" t="n">
        <v>3.14</v>
      </c>
      <c r="F798" s="5" t="n">
        <v>0.00507521071816743</v>
      </c>
      <c r="G798" s="5" t="n">
        <v>1.3972</v>
      </c>
      <c r="H798" s="2" t="n">
        <f aca="false">D798*F798</f>
        <v>2.04714917578574</v>
      </c>
      <c r="I798" s="2" t="n">
        <f aca="false">IF(G798="","",D798*1000000/Inputs!$B$4^2*Inputs!$B$5/G798)</f>
        <v>1.4670562247061</v>
      </c>
      <c r="J798" s="2" t="n">
        <f aca="false">IF(C798="A",Inputs!$B$7,IF(C798="B",Inputs!$B$8,IF(C798="C",Inputs!$B$9,0)))</f>
        <v>1</v>
      </c>
      <c r="K798" s="2" t="n">
        <f aca="false">IF(AND(E798&lt;&gt;"",G798&lt;&gt;"",J798&gt;0),IF(I798&gt;=Inputs!$B$6,1,0),0)</f>
        <v>0</v>
      </c>
      <c r="L798" s="5" t="n">
        <v>1</v>
      </c>
      <c r="M798" s="5" t="n">
        <v>403.5709</v>
      </c>
      <c r="N798" s="5" t="n">
        <v>2.04</v>
      </c>
      <c r="O798" s="4" t="s">
        <v>64</v>
      </c>
      <c r="P798" s="2" t="n">
        <f aca="false">IF(K798=1,J798/G798^2,0)</f>
        <v>0</v>
      </c>
      <c r="Q798" s="2" t="n">
        <f aca="false">IF(K798=1,((E798-Result!$B$7*D798)/G798)^2,0)</f>
        <v>0</v>
      </c>
    </row>
    <row r="799" customFormat="false" ht="15" hidden="false" customHeight="false" outlineLevel="0" collapsed="false">
      <c r="A799" s="4" t="s">
        <v>38</v>
      </c>
      <c r="B799" s="4" t="s">
        <v>865</v>
      </c>
      <c r="C799" s="4" t="s">
        <v>63</v>
      </c>
      <c r="D799" s="5" t="n">
        <v>308.1468</v>
      </c>
      <c r="E799" s="5" t="n">
        <v>-1.21</v>
      </c>
      <c r="F799" s="5" t="n">
        <v>0.00507525396347703</v>
      </c>
      <c r="G799" s="5" t="n">
        <v>1.3972</v>
      </c>
      <c r="H799" s="2" t="n">
        <f aca="false">D799*F799</f>
        <v>1.56392326803276</v>
      </c>
      <c r="I799" s="2" t="n">
        <f aca="false">IF(G799="","",D799*1000000/Inputs!$B$4^2*Inputs!$B$5/G799)</f>
        <v>1.12075067250509</v>
      </c>
      <c r="J799" s="2" t="n">
        <f aca="false">IF(C799="A",Inputs!$B$7,IF(C799="B",Inputs!$B$8,IF(C799="C",Inputs!$B$9,0)))</f>
        <v>1</v>
      </c>
      <c r="K799" s="2" t="n">
        <f aca="false">IF(AND(E799&lt;&gt;"",G799&lt;&gt;"",J799&gt;0),IF(I799&gt;=Inputs!$B$6,1,0),0)</f>
        <v>0</v>
      </c>
      <c r="L799" s="5" t="n">
        <v>0</v>
      </c>
      <c r="M799" s="5" t="n">
        <v>308.1015</v>
      </c>
      <c r="N799" s="5" t="n">
        <v>1.56</v>
      </c>
      <c r="O799" s="4" t="s">
        <v>64</v>
      </c>
      <c r="P799" s="2" t="n">
        <f aca="false">IF(K799=1,J799/G799^2,0)</f>
        <v>0</v>
      </c>
      <c r="Q799" s="2" t="n">
        <f aca="false">IF(K799=1,((E799-Result!$B$7*D799)/G799)^2,0)</f>
        <v>0</v>
      </c>
    </row>
    <row r="800" customFormat="false" ht="15" hidden="false" customHeight="false" outlineLevel="0" collapsed="false">
      <c r="A800" s="4" t="s">
        <v>38</v>
      </c>
      <c r="B800" s="4" t="s">
        <v>866</v>
      </c>
      <c r="C800" s="4" t="s">
        <v>63</v>
      </c>
      <c r="D800" s="5" t="n">
        <v>295.4461</v>
      </c>
      <c r="E800" s="5" t="n">
        <v>0.1</v>
      </c>
      <c r="F800" s="5" t="n">
        <v>0.00507509741696562</v>
      </c>
      <c r="G800" s="5" t="n">
        <v>1.3972</v>
      </c>
      <c r="H800" s="2" t="n">
        <f aca="false">D800*F800</f>
        <v>1.49941773896257</v>
      </c>
      <c r="I800" s="2" t="n">
        <f aca="false">IF(G800="","",D800*1000000/Inputs!$B$4^2*Inputs!$B$5/G800)</f>
        <v>1.07455737091544</v>
      </c>
      <c r="J800" s="2" t="n">
        <f aca="false">IF(C800="A",Inputs!$B$7,IF(C800="B",Inputs!$B$8,IF(C800="C",Inputs!$B$9,0)))</f>
        <v>1</v>
      </c>
      <c r="K800" s="2" t="n">
        <f aca="false">IF(AND(E800&lt;&gt;"",G800&lt;&gt;"",J800&gt;0),IF(I800&gt;=Inputs!$B$6,1,0),0)</f>
        <v>0</v>
      </c>
      <c r="L800" s="5" t="n">
        <v>1</v>
      </c>
      <c r="M800" s="5" t="n">
        <v>295.444</v>
      </c>
      <c r="N800" s="5" t="n">
        <v>1.5</v>
      </c>
      <c r="O800" s="4" t="s">
        <v>64</v>
      </c>
      <c r="P800" s="2" t="n">
        <f aca="false">IF(K800=1,J800/G800^2,0)</f>
        <v>0</v>
      </c>
      <c r="Q800" s="2" t="n">
        <f aca="false">IF(K800=1,((E800-Result!$B$7*D800)/G800)^2,0)</f>
        <v>0</v>
      </c>
    </row>
    <row r="801" customFormat="false" ht="15" hidden="false" customHeight="false" outlineLevel="0" collapsed="false">
      <c r="A801" s="4" t="s">
        <v>38</v>
      </c>
      <c r="B801" s="4" t="s">
        <v>867</v>
      </c>
      <c r="C801" s="4" t="s">
        <v>63</v>
      </c>
      <c r="D801" s="5" t="n">
        <v>193.735</v>
      </c>
      <c r="E801" s="5" t="n">
        <v>1.98</v>
      </c>
      <c r="F801" s="5" t="n">
        <v>0.0050751381455747</v>
      </c>
      <c r="G801" s="5" t="n">
        <v>1.3972</v>
      </c>
      <c r="H801" s="2" t="n">
        <f aca="false">D801*F801</f>
        <v>0.983231888632915</v>
      </c>
      <c r="I801" s="2" t="n">
        <f aca="false">IF(G801="","",D801*1000000/Inputs!$B$4^2*Inputs!$B$5/G801)</f>
        <v>0.704627247590346</v>
      </c>
      <c r="J801" s="2" t="n">
        <f aca="false">IF(C801="A",Inputs!$B$7,IF(C801="B",Inputs!$B$8,IF(C801="C",Inputs!$B$9,0)))</f>
        <v>1</v>
      </c>
      <c r="K801" s="2" t="n">
        <f aca="false">IF(AND(E801&lt;&gt;"",G801&lt;&gt;"",J801&gt;0),IF(I801&gt;=Inputs!$B$6,1,0),0)</f>
        <v>0</v>
      </c>
      <c r="L801" s="5" t="n">
        <v>1</v>
      </c>
      <c r="M801" s="5" t="n">
        <v>193.7333</v>
      </c>
      <c r="N801" s="5" t="n">
        <v>0.98</v>
      </c>
      <c r="O801" s="4" t="s">
        <v>64</v>
      </c>
      <c r="P801" s="2" t="n">
        <f aca="false">IF(K801=1,J801/G801^2,0)</f>
        <v>0</v>
      </c>
      <c r="Q801" s="2" t="n">
        <f aca="false">IF(K801=1,((E801-Result!$B$7*D801)/G801)^2,0)</f>
        <v>0</v>
      </c>
    </row>
    <row r="802" customFormat="false" ht="15" hidden="false" customHeight="false" outlineLevel="0" collapsed="false">
      <c r="A802" s="4" t="s">
        <v>38</v>
      </c>
      <c r="B802" s="4" t="s">
        <v>868</v>
      </c>
      <c r="C802" s="4" t="s">
        <v>63</v>
      </c>
      <c r="D802" s="5" t="n">
        <v>734.3425</v>
      </c>
      <c r="E802" s="5" t="n">
        <v>4.42</v>
      </c>
      <c r="F802" s="5" t="n">
        <v>0.00507522716087567</v>
      </c>
      <c r="G802" s="5" t="n">
        <v>1.3972</v>
      </c>
      <c r="H802" s="2" t="n">
        <f aca="false">D802*F802</f>
        <v>3.72695500138534</v>
      </c>
      <c r="I802" s="2" t="n">
        <f aca="false">IF(G802="","",D802*1000000/Inputs!$B$4^2*Inputs!$B$5/G802)</f>
        <v>2.67085314766879</v>
      </c>
      <c r="J802" s="2" t="n">
        <f aca="false">IF(C802="A",Inputs!$B$7,IF(C802="B",Inputs!$B$8,IF(C802="C",Inputs!$B$9,0)))</f>
        <v>1</v>
      </c>
      <c r="K802" s="2" t="n">
        <f aca="false">IF(AND(E802&lt;&gt;"",G802&lt;&gt;"",J802&gt;0),IF(I802&gt;=Inputs!$B$6,1,0),0)</f>
        <v>1</v>
      </c>
      <c r="L802" s="5" t="n">
        <v>1</v>
      </c>
      <c r="M802" s="5" t="n">
        <v>734.3389</v>
      </c>
      <c r="N802" s="5" t="n">
        <v>3.73</v>
      </c>
      <c r="O802" s="4" t="s">
        <v>64</v>
      </c>
      <c r="P802" s="2" t="n">
        <f aca="false">IF(K802=1,J802/G802^2,0)</f>
        <v>0.512251036775608</v>
      </c>
      <c r="Q802" s="2" t="n">
        <f aca="false">IF(K802=1,((E802-Result!$B$7*D802)/G802)^2,0)</f>
        <v>0.257412370693822</v>
      </c>
    </row>
    <row r="803" customFormat="false" ht="15" hidden="false" customHeight="false" outlineLevel="0" collapsed="false">
      <c r="A803" s="4" t="s">
        <v>38</v>
      </c>
      <c r="B803" s="4" t="s">
        <v>869</v>
      </c>
      <c r="C803" s="4" t="s">
        <v>63</v>
      </c>
      <c r="D803" s="5" t="n">
        <v>1304.397</v>
      </c>
      <c r="E803" s="5" t="n">
        <v>7.36</v>
      </c>
      <c r="F803" s="5" t="n">
        <v>0.00507551587050291</v>
      </c>
      <c r="G803" s="5" t="n">
        <v>1.3972</v>
      </c>
      <c r="H803" s="2" t="n">
        <f aca="false">D803*F803</f>
        <v>6.62048767493638</v>
      </c>
      <c r="I803" s="2" t="n">
        <f aca="false">IF(G803="","",D803*1000000/Inputs!$B$4^2*Inputs!$B$5/G803)</f>
        <v>4.74417977069247</v>
      </c>
      <c r="J803" s="2" t="n">
        <f aca="false">IF(C803="A",Inputs!$B$7,IF(C803="B",Inputs!$B$8,IF(C803="C",Inputs!$B$9,0)))</f>
        <v>1</v>
      </c>
      <c r="K803" s="2" t="n">
        <f aca="false">IF(AND(E803&lt;&gt;"",G803&lt;&gt;"",J803&gt;0),IF(I803&gt;=Inputs!$B$6,1,0),0)</f>
        <v>1</v>
      </c>
      <c r="L803" s="5" t="n">
        <v>1</v>
      </c>
      <c r="M803" s="5" t="n">
        <v>1304.3973</v>
      </c>
      <c r="N803" s="5" t="n">
        <v>6.62</v>
      </c>
      <c r="O803" s="4" t="s">
        <v>64</v>
      </c>
      <c r="P803" s="2" t="n">
        <f aca="false">IF(K803=1,J803/G803^2,0)</f>
        <v>0.512251036775608</v>
      </c>
      <c r="Q803" s="2" t="n">
        <f aca="false">IF(K803=1,((E803-Result!$B$7*D803)/G803)^2,0)</f>
        <v>0.302152054913247</v>
      </c>
    </row>
    <row r="804" customFormat="false" ht="15" hidden="false" customHeight="false" outlineLevel="0" collapsed="false">
      <c r="A804" s="4" t="s">
        <v>38</v>
      </c>
      <c r="B804" s="4" t="s">
        <v>870</v>
      </c>
      <c r="C804" s="4" t="s">
        <v>63</v>
      </c>
      <c r="D804" s="5" t="n">
        <v>1127.8903</v>
      </c>
      <c r="E804" s="5" t="n">
        <v>4.35</v>
      </c>
      <c r="F804" s="5" t="n">
        <v>0.0050755893186683</v>
      </c>
      <c r="G804" s="5" t="n">
        <v>1.3972</v>
      </c>
      <c r="H804" s="2" t="n">
        <f aca="false">D804*F804</f>
        <v>5.72470795930958</v>
      </c>
      <c r="I804" s="2" t="n">
        <f aca="false">IF(G804="","",D804*1000000/Inputs!$B$4^2*Inputs!$B$5/G804)</f>
        <v>4.10221301093169</v>
      </c>
      <c r="J804" s="2" t="n">
        <f aca="false">IF(C804="A",Inputs!$B$7,IF(C804="B",Inputs!$B$8,IF(C804="C",Inputs!$B$9,0)))</f>
        <v>1</v>
      </c>
      <c r="K804" s="2" t="n">
        <f aca="false">IF(AND(E804&lt;&gt;"",G804&lt;&gt;"",J804&gt;0),IF(I804&gt;=Inputs!$B$6,1,0),0)</f>
        <v>1</v>
      </c>
      <c r="L804" s="5" t="n">
        <v>0</v>
      </c>
      <c r="M804" s="5" t="n">
        <v>1127.8893</v>
      </c>
      <c r="N804" s="5" t="n">
        <v>5.72</v>
      </c>
      <c r="O804" s="4" t="s">
        <v>64</v>
      </c>
      <c r="P804" s="2" t="n">
        <f aca="false">IF(K804=1,J804/G804^2,0)</f>
        <v>0.512251036775608</v>
      </c>
      <c r="Q804" s="2" t="n">
        <f aca="false">IF(K804=1,((E804-Result!$B$7*D804)/G804)^2,0)</f>
        <v>0.933545436499032</v>
      </c>
    </row>
    <row r="805" customFormat="false" ht="15" hidden="false" customHeight="false" outlineLevel="0" collapsed="false">
      <c r="A805" s="4" t="s">
        <v>38</v>
      </c>
      <c r="B805" s="4" t="s">
        <v>871</v>
      </c>
      <c r="C805" s="4" t="s">
        <v>63</v>
      </c>
      <c r="D805" s="5" t="n">
        <v>740.5201</v>
      </c>
      <c r="E805" s="5" t="n">
        <v>4.33</v>
      </c>
      <c r="F805" s="5" t="n">
        <v>0.00507575819921213</v>
      </c>
      <c r="G805" s="5" t="n">
        <v>1.3972</v>
      </c>
      <c r="H805" s="2" t="n">
        <f aca="false">D805*F805</f>
        <v>3.75870096925638</v>
      </c>
      <c r="I805" s="2" t="n">
        <f aca="false">IF(G805="","",D805*1000000/Inputs!$B$4^2*Inputs!$B$5/G805)</f>
        <v>2.69332149507486</v>
      </c>
      <c r="J805" s="2" t="n">
        <f aca="false">IF(C805="A",Inputs!$B$7,IF(C805="B",Inputs!$B$8,IF(C805="C",Inputs!$B$9,0)))</f>
        <v>1</v>
      </c>
      <c r="K805" s="2" t="n">
        <f aca="false">IF(AND(E805&lt;&gt;"",G805&lt;&gt;"",J805&gt;0),IF(I805&gt;=Inputs!$B$6,1,0),0)</f>
        <v>1</v>
      </c>
      <c r="L805" s="5" t="n">
        <v>1</v>
      </c>
      <c r="M805" s="5" t="n">
        <v>740.5165</v>
      </c>
      <c r="N805" s="5" t="n">
        <v>3.75</v>
      </c>
      <c r="O805" s="4" t="s">
        <v>64</v>
      </c>
      <c r="P805" s="2" t="n">
        <f aca="false">IF(K805=1,J805/G805^2,0)</f>
        <v>0.512251036775608</v>
      </c>
      <c r="Q805" s="2" t="n">
        <f aca="false">IF(K805=1,((E805-Result!$B$7*D805)/G805)^2,0)</f>
        <v>0.176903812214412</v>
      </c>
    </row>
    <row r="806" customFormat="false" ht="15" hidden="false" customHeight="false" outlineLevel="0" collapsed="false">
      <c r="A806" s="4" t="s">
        <v>38</v>
      </c>
      <c r="B806" s="4" t="s">
        <v>872</v>
      </c>
      <c r="C806" s="4"/>
      <c r="D806" s="5" t="n">
        <v>417.8936</v>
      </c>
      <c r="E806" s="5"/>
      <c r="F806" s="5" t="n">
        <v>0.00507580551712084</v>
      </c>
      <c r="G806" s="5" t="n">
        <v>1.3972</v>
      </c>
      <c r="H806" s="2" t="n">
        <f aca="false">D806*F806</f>
        <v>2.12114664044949</v>
      </c>
      <c r="I806" s="2" t="n">
        <f aca="false">IF(G806="","",D806*1000000/Inputs!$B$4^2*Inputs!$B$5/G806)</f>
        <v>1.5199071781228</v>
      </c>
      <c r="J806" s="2" t="n">
        <f aca="false">IF(C806="A",Inputs!$B$7,IF(C806="B",Inputs!$B$8,IF(C806="C",Inputs!$B$9,0)))</f>
        <v>0</v>
      </c>
      <c r="K806" s="2" t="n">
        <f aca="false">IF(AND(E806&lt;&gt;"",G806&lt;&gt;"",J806&gt;0),IF(I806&gt;=Inputs!$B$6,1,0),0)</f>
        <v>0</v>
      </c>
      <c r="L806" s="5" t="n">
        <v>0</v>
      </c>
      <c r="M806" s="5" t="n">
        <v>417.8936</v>
      </c>
      <c r="N806" s="5" t="n">
        <v>2.12</v>
      </c>
      <c r="O806" s="4" t="s">
        <v>64</v>
      </c>
      <c r="P806" s="2" t="n">
        <f aca="false">IF(K806=1,J806/G806^2,0)</f>
        <v>0</v>
      </c>
      <c r="Q806" s="2" t="n">
        <f aca="false">IF(K806=1,((E806-Result!$B$7*D806)/G806)^2,0)</f>
        <v>0</v>
      </c>
    </row>
    <row r="807" customFormat="false" ht="15" hidden="false" customHeight="false" outlineLevel="0" collapsed="false">
      <c r="A807" s="4" t="s">
        <v>38</v>
      </c>
      <c r="B807" s="4" t="s">
        <v>873</v>
      </c>
      <c r="C807" s="4" t="s">
        <v>63</v>
      </c>
      <c r="D807" s="5" t="n">
        <v>291.1002</v>
      </c>
      <c r="E807" s="5" t="n">
        <v>1.65</v>
      </c>
      <c r="F807" s="5" t="n">
        <v>0.00507593148224619</v>
      </c>
      <c r="G807" s="5" t="n">
        <v>1.3972</v>
      </c>
      <c r="H807" s="2" t="n">
        <f aca="false">D807*F807</f>
        <v>1.47760466966816</v>
      </c>
      <c r="I807" s="2" t="n">
        <f aca="false">IF(G807="","",D807*1000000/Inputs!$B$4^2*Inputs!$B$5/G807)</f>
        <v>1.05875103981727</v>
      </c>
      <c r="J807" s="2" t="n">
        <f aca="false">IF(C807="A",Inputs!$B$7,IF(C807="B",Inputs!$B$8,IF(C807="C",Inputs!$B$9,0)))</f>
        <v>1</v>
      </c>
      <c r="K807" s="2" t="n">
        <f aca="false">IF(AND(E807&lt;&gt;"",G807&lt;&gt;"",J807&gt;0),IF(I807&gt;=Inputs!$B$6,1,0),0)</f>
        <v>0</v>
      </c>
      <c r="L807" s="5" t="n">
        <v>1</v>
      </c>
      <c r="M807" s="5" t="n">
        <v>291.0987</v>
      </c>
      <c r="N807" s="5" t="n">
        <v>1.48</v>
      </c>
      <c r="O807" s="4" t="s">
        <v>64</v>
      </c>
      <c r="P807" s="2" t="n">
        <f aca="false">IF(K807=1,J807/G807^2,0)</f>
        <v>0</v>
      </c>
      <c r="Q807" s="2" t="n">
        <f aca="false">IF(K807=1,((E807-Result!$B$7*D807)/G807)^2,0)</f>
        <v>0</v>
      </c>
    </row>
    <row r="808" customFormat="false" ht="15" hidden="false" customHeight="false" outlineLevel="0" collapsed="false">
      <c r="A808" s="4" t="s">
        <v>38</v>
      </c>
      <c r="B808" s="4" t="s">
        <v>874</v>
      </c>
      <c r="C808" s="4"/>
      <c r="D808" s="5" t="n">
        <v>613.7216</v>
      </c>
      <c r="E808" s="5"/>
      <c r="F808" s="5" t="n">
        <v>0.00507580803465006</v>
      </c>
      <c r="G808" s="5" t="n">
        <v>1.3972</v>
      </c>
      <c r="H808" s="2" t="n">
        <f aca="false">D808*F808</f>
        <v>3.11513302831829</v>
      </c>
      <c r="I808" s="2" t="n">
        <f aca="false">IF(G808="","",D808*1000000/Inputs!$B$4^2*Inputs!$B$5/G808)</f>
        <v>2.23214680772573</v>
      </c>
      <c r="J808" s="2" t="n">
        <f aca="false">IF(C808="A",Inputs!$B$7,IF(C808="B",Inputs!$B$8,IF(C808="C",Inputs!$B$9,0)))</f>
        <v>0</v>
      </c>
      <c r="K808" s="2" t="n">
        <f aca="false">IF(AND(E808&lt;&gt;"",G808&lt;&gt;"",J808&gt;0),IF(I808&gt;=Inputs!$B$6,1,0),0)</f>
        <v>0</v>
      </c>
      <c r="L808" s="5" t="n">
        <v>0</v>
      </c>
      <c r="M808" s="5" t="n">
        <v>613.7216</v>
      </c>
      <c r="N808" s="5" t="n">
        <v>3.12</v>
      </c>
      <c r="O808" s="4" t="s">
        <v>64</v>
      </c>
      <c r="P808" s="2" t="n">
        <f aca="false">IF(K808=1,J808/G808^2,0)</f>
        <v>0</v>
      </c>
      <c r="Q808" s="2" t="n">
        <f aca="false">IF(K808=1,((E808-Result!$B$7*D808)/G808)^2,0)</f>
        <v>0</v>
      </c>
    </row>
    <row r="809" customFormat="false" ht="15" hidden="false" customHeight="false" outlineLevel="0" collapsed="false">
      <c r="A809" s="4" t="s">
        <v>38</v>
      </c>
      <c r="B809" s="4" t="s">
        <v>875</v>
      </c>
      <c r="C809" s="4" t="s">
        <v>63</v>
      </c>
      <c r="D809" s="5" t="n">
        <v>230.3013</v>
      </c>
      <c r="E809" s="5" t="n">
        <v>0.64</v>
      </c>
      <c r="F809" s="5" t="n">
        <v>0.0050760307928596</v>
      </c>
      <c r="G809" s="5" t="n">
        <v>1.3972</v>
      </c>
      <c r="H809" s="2" t="n">
        <f aca="false">D809*F809</f>
        <v>1.1690164904356</v>
      </c>
      <c r="I809" s="2" t="n">
        <f aca="false">IF(G809="","",D809*1000000/Inputs!$B$4^2*Inputs!$B$5/G809)</f>
        <v>0.837621344287189</v>
      </c>
      <c r="J809" s="2" t="n">
        <f aca="false">IF(C809="A",Inputs!$B$7,IF(C809="B",Inputs!$B$8,IF(C809="C",Inputs!$B$9,0)))</f>
        <v>1</v>
      </c>
      <c r="K809" s="2" t="n">
        <f aca="false">IF(AND(E809&lt;&gt;"",G809&lt;&gt;"",J809&gt;0),IF(I809&gt;=Inputs!$B$6,1,0),0)</f>
        <v>0</v>
      </c>
      <c r="L809" s="5" t="n">
        <v>1</v>
      </c>
      <c r="M809" s="5" t="n">
        <v>230.2996</v>
      </c>
      <c r="N809" s="5" t="n">
        <v>1.17</v>
      </c>
      <c r="O809" s="4" t="s">
        <v>64</v>
      </c>
      <c r="P809" s="2" t="n">
        <f aca="false">IF(K809=1,J809/G809^2,0)</f>
        <v>0</v>
      </c>
      <c r="Q809" s="2" t="n">
        <f aca="false">IF(K809=1,((E809-Result!$B$7*D809)/G809)^2,0)</f>
        <v>0</v>
      </c>
    </row>
    <row r="810" customFormat="false" ht="15" hidden="false" customHeight="false" outlineLevel="0" collapsed="false">
      <c r="A810" s="4" t="s">
        <v>38</v>
      </c>
      <c r="B810" s="4" t="s">
        <v>876</v>
      </c>
      <c r="C810" s="4" t="s">
        <v>63</v>
      </c>
      <c r="D810" s="5" t="n">
        <v>322.2929</v>
      </c>
      <c r="E810" s="5" t="n">
        <v>0.33</v>
      </c>
      <c r="F810" s="5" t="n">
        <v>0.00507612627268432</v>
      </c>
      <c r="G810" s="5" t="n">
        <v>1.3972</v>
      </c>
      <c r="H810" s="2" t="n">
        <f aca="false">D810*F810</f>
        <v>1.63599945718962</v>
      </c>
      <c r="I810" s="2" t="n">
        <f aca="false">IF(G810="","",D810*1000000/Inputs!$B$4^2*Inputs!$B$5/G810)</f>
        <v>1.17220099127628</v>
      </c>
      <c r="J810" s="2" t="n">
        <f aca="false">IF(C810="A",Inputs!$B$7,IF(C810="B",Inputs!$B$8,IF(C810="C",Inputs!$B$9,0)))</f>
        <v>1</v>
      </c>
      <c r="K810" s="2" t="n">
        <f aca="false">IF(AND(E810&lt;&gt;"",G810&lt;&gt;"",J810&gt;0),IF(I810&gt;=Inputs!$B$6,1,0),0)</f>
        <v>0</v>
      </c>
      <c r="L810" s="5" t="n">
        <v>1</v>
      </c>
      <c r="M810" s="5" t="n">
        <v>322.2983</v>
      </c>
      <c r="N810" s="5" t="n">
        <v>1.64</v>
      </c>
      <c r="O810" s="4" t="s">
        <v>64</v>
      </c>
      <c r="P810" s="2" t="n">
        <f aca="false">IF(K810=1,J810/G810^2,0)</f>
        <v>0</v>
      </c>
      <c r="Q810" s="2" t="n">
        <f aca="false">IF(K810=1,((E810-Result!$B$7*D810)/G810)^2,0)</f>
        <v>0</v>
      </c>
    </row>
    <row r="811" customFormat="false" ht="15" hidden="false" customHeight="false" outlineLevel="0" collapsed="false">
      <c r="A811" s="4" t="s">
        <v>38</v>
      </c>
      <c r="B811" s="4" t="s">
        <v>877</v>
      </c>
      <c r="C811" s="4" t="s">
        <v>63</v>
      </c>
      <c r="D811" s="5" t="n">
        <v>317.2356</v>
      </c>
      <c r="E811" s="5" t="n">
        <v>-1.74</v>
      </c>
      <c r="F811" s="5" t="n">
        <v>0.00507617186808875</v>
      </c>
      <c r="G811" s="5" t="n">
        <v>1.3972</v>
      </c>
      <c r="H811" s="2" t="n">
        <f aca="false">D811*F811</f>
        <v>1.61034242827626</v>
      </c>
      <c r="I811" s="2" t="n">
        <f aca="false">IF(G811="","",D811*1000000/Inputs!$B$4^2*Inputs!$B$5/G811)</f>
        <v>1.15380725044866</v>
      </c>
      <c r="J811" s="2" t="n">
        <f aca="false">IF(C811="A",Inputs!$B$7,IF(C811="B",Inputs!$B$8,IF(C811="C",Inputs!$B$9,0)))</f>
        <v>1</v>
      </c>
      <c r="K811" s="2" t="n">
        <f aca="false">IF(AND(E811&lt;&gt;"",G811&lt;&gt;"",J811&gt;0),IF(I811&gt;=Inputs!$B$6,1,0),0)</f>
        <v>0</v>
      </c>
      <c r="L811" s="5" t="n">
        <v>0</v>
      </c>
      <c r="M811" s="5" t="n">
        <v>317.2377</v>
      </c>
      <c r="N811" s="5" t="n">
        <v>1.61</v>
      </c>
      <c r="O811" s="4" t="s">
        <v>64</v>
      </c>
      <c r="P811" s="2" t="n">
        <f aca="false">IF(K811=1,J811/G811^2,0)</f>
        <v>0</v>
      </c>
      <c r="Q811" s="2" t="n">
        <f aca="false">IF(K811=1,((E811-Result!$B$7*D811)/G811)^2,0)</f>
        <v>0</v>
      </c>
    </row>
    <row r="812" customFormat="false" ht="15" hidden="false" customHeight="false" outlineLevel="0" collapsed="false">
      <c r="A812" s="4" t="s">
        <v>38</v>
      </c>
      <c r="B812" s="4" t="s">
        <v>878</v>
      </c>
      <c r="C812" s="4" t="s">
        <v>63</v>
      </c>
      <c r="D812" s="5" t="n">
        <v>303.3785</v>
      </c>
      <c r="E812" s="5" t="n">
        <v>0.48</v>
      </c>
      <c r="F812" s="5" t="n">
        <v>0.00507607514051162</v>
      </c>
      <c r="G812" s="5" t="n">
        <v>1.3972</v>
      </c>
      <c r="H812" s="2" t="n">
        <f aca="false">D812*F812</f>
        <v>1.53997206201571</v>
      </c>
      <c r="I812" s="2" t="n">
        <f aca="false">IF(G812="","",D812*1000000/Inputs!$B$4^2*Inputs!$B$5/G812)</f>
        <v>1.10340804414839</v>
      </c>
      <c r="J812" s="2" t="n">
        <f aca="false">IF(C812="A",Inputs!$B$7,IF(C812="B",Inputs!$B$8,IF(C812="C",Inputs!$B$9,0)))</f>
        <v>1</v>
      </c>
      <c r="K812" s="2" t="n">
        <f aca="false">IF(AND(E812&lt;&gt;"",G812&lt;&gt;"",J812&gt;0),IF(I812&gt;=Inputs!$B$6,1,0),0)</f>
        <v>0</v>
      </c>
      <c r="L812" s="5" t="n">
        <v>1</v>
      </c>
      <c r="M812" s="5" t="n">
        <v>303.3735</v>
      </c>
      <c r="N812" s="5" t="n">
        <v>1.53</v>
      </c>
      <c r="O812" s="4" t="s">
        <v>64</v>
      </c>
      <c r="P812" s="2" t="n">
        <f aca="false">IF(K812=1,J812/G812^2,0)</f>
        <v>0</v>
      </c>
      <c r="Q812" s="2" t="n">
        <f aca="false">IF(K812=1,((E812-Result!$B$7*D812)/G812)^2,0)</f>
        <v>0</v>
      </c>
    </row>
    <row r="813" customFormat="false" ht="15" hidden="false" customHeight="false" outlineLevel="0" collapsed="false">
      <c r="A813" s="4" t="s">
        <v>38</v>
      </c>
      <c r="B813" s="4" t="s">
        <v>879</v>
      </c>
      <c r="C813" s="4" t="s">
        <v>63</v>
      </c>
      <c r="D813" s="5" t="n">
        <v>308.436</v>
      </c>
      <c r="E813" s="5" t="n">
        <v>2.55</v>
      </c>
      <c r="F813" s="5" t="n">
        <v>0.00507602915317269</v>
      </c>
      <c r="G813" s="5" t="n">
        <v>1.3972</v>
      </c>
      <c r="H813" s="2" t="n">
        <f aca="false">D813*F813</f>
        <v>1.56563012788797</v>
      </c>
      <c r="I813" s="2" t="n">
        <f aca="false">IF(G813="","",D813*1000000/Inputs!$B$4^2*Inputs!$B$5/G813)</f>
        <v>1.12180251238948</v>
      </c>
      <c r="J813" s="2" t="n">
        <f aca="false">IF(C813="A",Inputs!$B$7,IF(C813="B",Inputs!$B$8,IF(C813="C",Inputs!$B$9,0)))</f>
        <v>1</v>
      </c>
      <c r="K813" s="2" t="n">
        <f aca="false">IF(AND(E813&lt;&gt;"",G813&lt;&gt;"",J813&gt;0),IF(I813&gt;=Inputs!$B$6,1,0),0)</f>
        <v>0</v>
      </c>
      <c r="L813" s="5" t="n">
        <v>0</v>
      </c>
      <c r="M813" s="5" t="n">
        <v>308.4341</v>
      </c>
      <c r="N813" s="5" t="n">
        <v>1.56</v>
      </c>
      <c r="O813" s="4" t="s">
        <v>64</v>
      </c>
      <c r="P813" s="2" t="n">
        <f aca="false">IF(K813=1,J813/G813^2,0)</f>
        <v>0</v>
      </c>
      <c r="Q813" s="2" t="n">
        <f aca="false">IF(K813=1,((E813-Result!$B$7*D813)/G813)^2,0)</f>
        <v>0</v>
      </c>
    </row>
    <row r="814" customFormat="false" ht="15" hidden="false" customHeight="false" outlineLevel="0" collapsed="false">
      <c r="A814" s="4" t="s">
        <v>38</v>
      </c>
      <c r="B814" s="4" t="s">
        <v>880</v>
      </c>
      <c r="C814" s="4" t="s">
        <v>63</v>
      </c>
      <c r="D814" s="5" t="n">
        <v>286.0022</v>
      </c>
      <c r="E814" s="5" t="n">
        <v>3.95</v>
      </c>
      <c r="F814" s="5" t="n">
        <v>0.00507616324795997</v>
      </c>
      <c r="G814" s="5" t="n">
        <v>1.3972</v>
      </c>
      <c r="H814" s="2" t="n">
        <f aca="false">D814*F814</f>
        <v>1.4517938564757</v>
      </c>
      <c r="I814" s="2" t="n">
        <f aca="false">IF(G814="","",D814*1000000/Inputs!$B$4^2*Inputs!$B$5/G814)</f>
        <v>1.04020927034756</v>
      </c>
      <c r="J814" s="2" t="n">
        <f aca="false">IF(C814="A",Inputs!$B$7,IF(C814="B",Inputs!$B$8,IF(C814="C",Inputs!$B$9,0)))</f>
        <v>1</v>
      </c>
      <c r="K814" s="2" t="n">
        <f aca="false">IF(AND(E814&lt;&gt;"",G814&lt;&gt;"",J814&gt;0),IF(I814&gt;=Inputs!$B$6,1,0),0)</f>
        <v>0</v>
      </c>
      <c r="L814" s="5" t="n">
        <v>1</v>
      </c>
      <c r="M814" s="5" t="n">
        <v>285.9971</v>
      </c>
      <c r="N814" s="5" t="n">
        <v>1.45</v>
      </c>
      <c r="O814" s="4" t="s">
        <v>64</v>
      </c>
      <c r="P814" s="2" t="n">
        <f aca="false">IF(K814=1,J814/G814^2,0)</f>
        <v>0</v>
      </c>
      <c r="Q814" s="2" t="n">
        <f aca="false">IF(K814=1,((E814-Result!$B$7*D814)/G814)^2,0)</f>
        <v>0</v>
      </c>
    </row>
    <row r="815" customFormat="false" ht="15" hidden="false" customHeight="false" outlineLevel="0" collapsed="false">
      <c r="A815" s="4" t="s">
        <v>38</v>
      </c>
      <c r="B815" s="4" t="s">
        <v>881</v>
      </c>
      <c r="C815" s="4" t="s">
        <v>63</v>
      </c>
      <c r="D815" s="5" t="n">
        <v>442.7244</v>
      </c>
      <c r="E815" s="5" t="n">
        <v>0.95</v>
      </c>
      <c r="F815" s="5" t="n">
        <v>0.00507634003417317</v>
      </c>
      <c r="G815" s="5" t="n">
        <v>1.3972</v>
      </c>
      <c r="H815" s="2" t="n">
        <f aca="false">D815*F815</f>
        <v>2.24741959582529</v>
      </c>
      <c r="I815" s="2" t="n">
        <f aca="false">IF(G815="","",D815*1000000/Inputs!$B$4^2*Inputs!$B$5/G815)</f>
        <v>1.61021847065883</v>
      </c>
      <c r="J815" s="2" t="n">
        <f aca="false">IF(C815="A",Inputs!$B$7,IF(C815="B",Inputs!$B$8,IF(C815="C",Inputs!$B$9,0)))</f>
        <v>1</v>
      </c>
      <c r="K815" s="2" t="n">
        <f aca="false">IF(AND(E815&lt;&gt;"",G815&lt;&gt;"",J815&gt;0),IF(I815&gt;=Inputs!$B$6,1,0),0)</f>
        <v>0</v>
      </c>
      <c r="L815" s="5" t="n">
        <v>0</v>
      </c>
      <c r="M815" s="5" t="n">
        <v>442.7123</v>
      </c>
      <c r="N815" s="5" t="n">
        <v>2.25</v>
      </c>
      <c r="O815" s="4" t="s">
        <v>64</v>
      </c>
      <c r="P815" s="2" t="n">
        <f aca="false">IF(K815=1,J815/G815^2,0)</f>
        <v>0</v>
      </c>
      <c r="Q815" s="2" t="n">
        <f aca="false">IF(K815=1,((E815-Result!$B$7*D815)/G815)^2,0)</f>
        <v>0</v>
      </c>
    </row>
    <row r="816" customFormat="false" ht="15" hidden="false" customHeight="false" outlineLevel="0" collapsed="false">
      <c r="A816" s="4" t="s">
        <v>38</v>
      </c>
      <c r="B816" s="4" t="s">
        <v>882</v>
      </c>
      <c r="C816" s="4" t="s">
        <v>63</v>
      </c>
      <c r="D816" s="5" t="n">
        <v>552.2738</v>
      </c>
      <c r="E816" s="5" t="n">
        <v>1.62</v>
      </c>
      <c r="F816" s="5" t="n">
        <v>0.00507640587046497</v>
      </c>
      <c r="G816" s="5" t="n">
        <v>1.3972</v>
      </c>
      <c r="H816" s="2" t="n">
        <f aca="false">D816*F816</f>
        <v>2.803565960424</v>
      </c>
      <c r="I816" s="2" t="n">
        <f aca="false">IF(G816="","",D816*1000000/Inputs!$B$4^2*Inputs!$B$5/G816)</f>
        <v>2.00865701917703</v>
      </c>
      <c r="J816" s="2" t="n">
        <f aca="false">IF(C816="A",Inputs!$B$7,IF(C816="B",Inputs!$B$8,IF(C816="C",Inputs!$B$9,0)))</f>
        <v>1</v>
      </c>
      <c r="K816" s="2" t="n">
        <f aca="false">IF(AND(E816&lt;&gt;"",G816&lt;&gt;"",J816&gt;0),IF(I816&gt;=Inputs!$B$6,1,0),0)</f>
        <v>1</v>
      </c>
      <c r="L816" s="5" t="n">
        <v>1</v>
      </c>
      <c r="M816" s="5" t="n">
        <v>552.2669</v>
      </c>
      <c r="N816" s="5" t="n">
        <v>2.8</v>
      </c>
      <c r="O816" s="4" t="s">
        <v>64</v>
      </c>
      <c r="P816" s="2" t="n">
        <f aca="false">IF(K816=1,J816/G816^2,0)</f>
        <v>0.512251036775608</v>
      </c>
      <c r="Q816" s="2" t="n">
        <f aca="false">IF(K816=1,((E816-Result!$B$7*D816)/G816)^2,0)</f>
        <v>0.702426030979346</v>
      </c>
    </row>
    <row r="817" customFormat="false" ht="15" hidden="false" customHeight="false" outlineLevel="0" collapsed="false">
      <c r="A817" s="4" t="s">
        <v>38</v>
      </c>
      <c r="B817" s="4" t="s">
        <v>883</v>
      </c>
      <c r="C817" s="4" t="s">
        <v>63</v>
      </c>
      <c r="D817" s="5" t="n">
        <v>409.3466</v>
      </c>
      <c r="E817" s="5" t="n">
        <v>-0.49</v>
      </c>
      <c r="F817" s="5" t="n">
        <v>0.00507651518362384</v>
      </c>
      <c r="G817" s="5" t="n">
        <v>1.3972</v>
      </c>
      <c r="H817" s="2" t="n">
        <f aca="false">D817*F817</f>
        <v>2.07805423026479</v>
      </c>
      <c r="I817" s="2" t="n">
        <f aca="false">IF(G817="","",D817*1000000/Inputs!$B$4^2*Inputs!$B$5/G817)</f>
        <v>1.48882116328215</v>
      </c>
      <c r="J817" s="2" t="n">
        <f aca="false">IF(C817="A",Inputs!$B$7,IF(C817="B",Inputs!$B$8,IF(C817="C",Inputs!$B$9,0)))</f>
        <v>1</v>
      </c>
      <c r="K817" s="2" t="n">
        <f aca="false">IF(AND(E817&lt;&gt;"",G817&lt;&gt;"",J817&gt;0),IF(I817&gt;=Inputs!$B$6,1,0),0)</f>
        <v>0</v>
      </c>
      <c r="L817" s="5" t="n">
        <v>1</v>
      </c>
      <c r="M817" s="5" t="n">
        <v>409.3449</v>
      </c>
      <c r="N817" s="5" t="n">
        <v>2.08</v>
      </c>
      <c r="O817" s="4" t="s">
        <v>64</v>
      </c>
      <c r="P817" s="2" t="n">
        <f aca="false">IF(K817=1,J817/G817^2,0)</f>
        <v>0</v>
      </c>
      <c r="Q817" s="2" t="n">
        <f aca="false">IF(K817=1,((E817-Result!$B$7*D817)/G817)^2,0)</f>
        <v>0</v>
      </c>
    </row>
    <row r="818" customFormat="false" ht="15" hidden="false" customHeight="false" outlineLevel="0" collapsed="false">
      <c r="A818" s="4" t="s">
        <v>38</v>
      </c>
      <c r="B818" s="4" t="s">
        <v>884</v>
      </c>
      <c r="C818" s="4" t="s">
        <v>63</v>
      </c>
      <c r="D818" s="5" t="n">
        <v>252.9438</v>
      </c>
      <c r="E818" s="5" t="n">
        <v>1.46</v>
      </c>
      <c r="F818" s="5" t="n">
        <v>0.00507656486452378</v>
      </c>
      <c r="G818" s="5" t="n">
        <v>1.3972</v>
      </c>
      <c r="H818" s="2" t="n">
        <f aca="false">D818*F818</f>
        <v>1.28408560777913</v>
      </c>
      <c r="I818" s="2" t="n">
        <f aca="false">IF(G818="","",D818*1000000/Inputs!$B$4^2*Inputs!$B$5/G818)</f>
        <v>0.919973642289948</v>
      </c>
      <c r="J818" s="2" t="n">
        <f aca="false">IF(C818="A",Inputs!$B$7,IF(C818="B",Inputs!$B$8,IF(C818="C",Inputs!$B$9,0)))</f>
        <v>1</v>
      </c>
      <c r="K818" s="2" t="n">
        <f aca="false">IF(AND(E818&lt;&gt;"",G818&lt;&gt;"",J818&gt;0),IF(I818&gt;=Inputs!$B$6,1,0),0)</f>
        <v>0</v>
      </c>
      <c r="L818" s="5" t="n">
        <v>0</v>
      </c>
      <c r="M818" s="5" t="n">
        <v>252.943</v>
      </c>
      <c r="N818" s="5" t="n">
        <v>1.29</v>
      </c>
      <c r="O818" s="4" t="s">
        <v>64</v>
      </c>
      <c r="P818" s="2" t="n">
        <f aca="false">IF(K818=1,J818/G818^2,0)</f>
        <v>0</v>
      </c>
      <c r="Q818" s="2" t="n">
        <f aca="false">IF(K818=1,((E818-Result!$B$7*D818)/G818)^2,0)</f>
        <v>0</v>
      </c>
    </row>
    <row r="819" customFormat="false" ht="15" hidden="false" customHeight="false" outlineLevel="0" collapsed="false">
      <c r="A819" s="4" t="s">
        <v>38</v>
      </c>
      <c r="B819" s="4" t="s">
        <v>885</v>
      </c>
      <c r="C819" s="4" t="s">
        <v>63</v>
      </c>
      <c r="D819" s="5" t="n">
        <v>167.6039</v>
      </c>
      <c r="E819" s="5" t="n">
        <v>1.63</v>
      </c>
      <c r="F819" s="5" t="n">
        <v>0.0050764965322368</v>
      </c>
      <c r="G819" s="5" t="n">
        <v>1.3972</v>
      </c>
      <c r="H819" s="2" t="n">
        <f aca="false">D819*F819</f>
        <v>0.850840617139364</v>
      </c>
      <c r="I819" s="2" t="n">
        <f aca="false">IF(G819="","",D819*1000000/Inputs!$B$4^2*Inputs!$B$5/G819)</f>
        <v>0.60958667634866</v>
      </c>
      <c r="J819" s="2" t="n">
        <f aca="false">IF(C819="A",Inputs!$B$7,IF(C819="B",Inputs!$B$8,IF(C819="C",Inputs!$B$9,0)))</f>
        <v>1</v>
      </c>
      <c r="K819" s="2" t="n">
        <f aca="false">IF(AND(E819&lt;&gt;"",G819&lt;&gt;"",J819&gt;0),IF(I819&gt;=Inputs!$B$6,1,0),0)</f>
        <v>0</v>
      </c>
      <c r="L819" s="5" t="n">
        <v>1</v>
      </c>
      <c r="M819" s="5" t="n">
        <v>167.6028</v>
      </c>
      <c r="N819" s="5" t="n">
        <v>0.85</v>
      </c>
      <c r="O819" s="4" t="s">
        <v>64</v>
      </c>
      <c r="P819" s="2" t="n">
        <f aca="false">IF(K819=1,J819/G819^2,0)</f>
        <v>0</v>
      </c>
      <c r="Q819" s="2" t="n">
        <f aca="false">IF(K819=1,((E819-Result!$B$7*D819)/G819)^2,0)</f>
        <v>0</v>
      </c>
    </row>
    <row r="820" customFormat="false" ht="15" hidden="false" customHeight="false" outlineLevel="0" collapsed="false">
      <c r="A820" s="4" t="s">
        <v>38</v>
      </c>
      <c r="B820" s="4" t="s">
        <v>886</v>
      </c>
      <c r="C820" s="4" t="s">
        <v>63</v>
      </c>
      <c r="D820" s="5" t="n">
        <v>324.0062</v>
      </c>
      <c r="E820" s="5" t="n">
        <v>-0.31</v>
      </c>
      <c r="F820" s="5" t="n">
        <v>0.00507646688741879</v>
      </c>
      <c r="G820" s="5" t="n">
        <v>1.3972</v>
      </c>
      <c r="H820" s="2" t="n">
        <f aca="false">D820*F820</f>
        <v>1.64480674561839</v>
      </c>
      <c r="I820" s="2" t="n">
        <f aca="false">IF(G820="","",D820*1000000/Inputs!$B$4^2*Inputs!$B$5/G820)</f>
        <v>1.17843237880717</v>
      </c>
      <c r="J820" s="2" t="n">
        <f aca="false">IF(C820="A",Inputs!$B$7,IF(C820="B",Inputs!$B$8,IF(C820="C",Inputs!$B$9,0)))</f>
        <v>1</v>
      </c>
      <c r="K820" s="2" t="n">
        <f aca="false">IF(AND(E820&lt;&gt;"",G820&lt;&gt;"",J820&gt;0),IF(I820&gt;=Inputs!$B$6,1,0),0)</f>
        <v>0</v>
      </c>
      <c r="L820" s="5" t="n">
        <v>0</v>
      </c>
      <c r="M820" s="5" t="n">
        <v>324.0048</v>
      </c>
      <c r="N820" s="5" t="n">
        <v>1.65</v>
      </c>
      <c r="O820" s="4" t="s">
        <v>64</v>
      </c>
      <c r="P820" s="2" t="n">
        <f aca="false">IF(K820=1,J820/G820^2,0)</f>
        <v>0</v>
      </c>
      <c r="Q820" s="2" t="n">
        <f aca="false">IF(K820=1,((E820-Result!$B$7*D820)/G820)^2,0)</f>
        <v>0</v>
      </c>
    </row>
    <row r="821" customFormat="false" ht="15" hidden="false" customHeight="false" outlineLevel="0" collapsed="false">
      <c r="A821" s="4" t="s">
        <v>38</v>
      </c>
      <c r="B821" s="4" t="s">
        <v>887</v>
      </c>
      <c r="C821" s="4" t="s">
        <v>63</v>
      </c>
      <c r="D821" s="5" t="n">
        <v>201.06</v>
      </c>
      <c r="E821" s="5" t="n">
        <v>1.81</v>
      </c>
      <c r="F821" s="5" t="n">
        <v>0.00507666938774804</v>
      </c>
      <c r="G821" s="5" t="n">
        <v>1.3972</v>
      </c>
      <c r="H821" s="2" t="n">
        <f aca="false">D821*F821</f>
        <v>1.02071514710062</v>
      </c>
      <c r="I821" s="2" t="n">
        <f aca="false">IF(G821="","",D821*1000000/Inputs!$B$4^2*Inputs!$B$5/G821)</f>
        <v>0.731268766100679</v>
      </c>
      <c r="J821" s="2" t="n">
        <f aca="false">IF(C821="A",Inputs!$B$7,IF(C821="B",Inputs!$B$8,IF(C821="C",Inputs!$B$9,0)))</f>
        <v>1</v>
      </c>
      <c r="K821" s="2" t="n">
        <f aca="false">IF(AND(E821&lt;&gt;"",G821&lt;&gt;"",J821&gt;0),IF(I821&gt;=Inputs!$B$6,1,0),0)</f>
        <v>0</v>
      </c>
      <c r="L821" s="5" t="n">
        <v>0</v>
      </c>
      <c r="M821" s="5" t="n">
        <v>201.0594</v>
      </c>
      <c r="N821" s="5" t="n">
        <v>1.02</v>
      </c>
      <c r="O821" s="4" t="s">
        <v>64</v>
      </c>
      <c r="P821" s="2" t="n">
        <f aca="false">IF(K821=1,J821/G821^2,0)</f>
        <v>0</v>
      </c>
      <c r="Q821" s="2" t="n">
        <f aca="false">IF(K821=1,((E821-Result!$B$7*D821)/G821)^2,0)</f>
        <v>0</v>
      </c>
    </row>
    <row r="822" customFormat="false" ht="15" hidden="false" customHeight="false" outlineLevel="0" collapsed="false">
      <c r="A822" s="4" t="s">
        <v>38</v>
      </c>
      <c r="B822" s="4" t="s">
        <v>888</v>
      </c>
      <c r="C822" s="4" t="s">
        <v>63</v>
      </c>
      <c r="D822" s="5" t="n">
        <v>360.474</v>
      </c>
      <c r="E822" s="5" t="n">
        <v>3.89</v>
      </c>
      <c r="F822" s="5" t="n">
        <v>0.00507672134247213</v>
      </c>
      <c r="G822" s="5" t="n">
        <v>1.3972</v>
      </c>
      <c r="H822" s="2" t="n">
        <f aca="false">D822*F822</f>
        <v>1.8300260492063</v>
      </c>
      <c r="I822" s="2" t="n">
        <f aca="false">IF(G822="","",D822*1000000/Inputs!$B$4^2*Inputs!$B$5/G822)</f>
        <v>1.31106822436773</v>
      </c>
      <c r="J822" s="2" t="n">
        <f aca="false">IF(C822="A",Inputs!$B$7,IF(C822="B",Inputs!$B$8,IF(C822="C",Inputs!$B$9,0)))</f>
        <v>1</v>
      </c>
      <c r="K822" s="2" t="n">
        <f aca="false">IF(AND(E822&lt;&gt;"",G822&lt;&gt;"",J822&gt;0),IF(I822&gt;=Inputs!$B$6,1,0),0)</f>
        <v>0</v>
      </c>
      <c r="L822" s="5" t="n">
        <v>1</v>
      </c>
      <c r="M822" s="5" t="n">
        <v>360.4725</v>
      </c>
      <c r="N822" s="5" t="n">
        <v>1.83</v>
      </c>
      <c r="O822" s="4" t="s">
        <v>64</v>
      </c>
      <c r="P822" s="2" t="n">
        <f aca="false">IF(K822=1,J822/G822^2,0)</f>
        <v>0</v>
      </c>
      <c r="Q822" s="2" t="n">
        <f aca="false">IF(K822=1,((E822-Result!$B$7*D822)/G822)^2,0)</f>
        <v>0</v>
      </c>
    </row>
    <row r="823" customFormat="false" ht="15" hidden="false" customHeight="false" outlineLevel="0" collapsed="false">
      <c r="A823" s="4" t="s">
        <v>38</v>
      </c>
      <c r="B823" s="4" t="s">
        <v>889</v>
      </c>
      <c r="C823" s="4" t="s">
        <v>63</v>
      </c>
      <c r="D823" s="5" t="n">
        <v>288.9896</v>
      </c>
      <c r="E823" s="5" t="n">
        <v>0.05</v>
      </c>
      <c r="F823" s="5" t="n">
        <v>0.00507679208978876</v>
      </c>
      <c r="G823" s="5" t="n">
        <v>1.3972</v>
      </c>
      <c r="H823" s="2" t="n">
        <f aca="false">D823*F823</f>
        <v>1.46714011531122</v>
      </c>
      <c r="I823" s="2" t="n">
        <f aca="false">IF(G823="","",D823*1000000/Inputs!$B$4^2*Inputs!$B$5/G823)</f>
        <v>1.05107464541892</v>
      </c>
      <c r="J823" s="2" t="n">
        <f aca="false">IF(C823="A",Inputs!$B$7,IF(C823="B",Inputs!$B$8,IF(C823="C",Inputs!$B$9,0)))</f>
        <v>1</v>
      </c>
      <c r="K823" s="2" t="n">
        <f aca="false">IF(AND(E823&lt;&gt;"",G823&lt;&gt;"",J823&gt;0),IF(I823&gt;=Inputs!$B$6,1,0),0)</f>
        <v>0</v>
      </c>
      <c r="L823" s="5" t="n">
        <v>1</v>
      </c>
      <c r="M823" s="5" t="n">
        <v>288.9883</v>
      </c>
      <c r="N823" s="5" t="n">
        <v>1.47</v>
      </c>
      <c r="O823" s="4" t="s">
        <v>64</v>
      </c>
      <c r="P823" s="2" t="n">
        <f aca="false">IF(K823=1,J823/G823^2,0)</f>
        <v>0</v>
      </c>
      <c r="Q823" s="2" t="n">
        <f aca="false">IF(K823=1,((E823-Result!$B$7*D823)/G823)^2,0)</f>
        <v>0</v>
      </c>
    </row>
    <row r="824" customFormat="false" ht="15" hidden="false" customHeight="false" outlineLevel="0" collapsed="false">
      <c r="A824" s="4" t="s">
        <v>38</v>
      </c>
      <c r="B824" s="4" t="s">
        <v>890</v>
      </c>
      <c r="C824" s="4" t="s">
        <v>63</v>
      </c>
      <c r="D824" s="5" t="n">
        <v>228.9304</v>
      </c>
      <c r="E824" s="5" t="n">
        <v>0.66</v>
      </c>
      <c r="F824" s="5" t="n">
        <v>0.0050767674483536</v>
      </c>
      <c r="G824" s="5" t="n">
        <v>1.3972</v>
      </c>
      <c r="H824" s="2" t="n">
        <f aca="false">D824*F824</f>
        <v>1.16222640265857</v>
      </c>
      <c r="I824" s="2" t="n">
        <f aca="false">IF(G824="","",D824*1000000/Inputs!$B$4^2*Inputs!$B$5/G824)</f>
        <v>0.832635288624962</v>
      </c>
      <c r="J824" s="2" t="n">
        <f aca="false">IF(C824="A",Inputs!$B$7,IF(C824="B",Inputs!$B$8,IF(C824="C",Inputs!$B$9,0)))</f>
        <v>1</v>
      </c>
      <c r="K824" s="2" t="n">
        <f aca="false">IF(AND(E824&lt;&gt;"",G824&lt;&gt;"",J824&gt;0),IF(I824&gt;=Inputs!$B$6,1,0),0)</f>
        <v>0</v>
      </c>
      <c r="L824" s="5" t="n">
        <v>1</v>
      </c>
      <c r="M824" s="5" t="n">
        <v>228.9293</v>
      </c>
      <c r="N824" s="5" t="n">
        <v>1.16</v>
      </c>
      <c r="O824" s="4" t="s">
        <v>64</v>
      </c>
      <c r="P824" s="2" t="n">
        <f aca="false">IF(K824=1,J824/G824^2,0)</f>
        <v>0</v>
      </c>
      <c r="Q824" s="2" t="n">
        <f aca="false">IF(K824=1,((E824-Result!$B$7*D824)/G824)^2,0)</f>
        <v>0</v>
      </c>
    </row>
    <row r="825" customFormat="false" ht="15" hidden="false" customHeight="false" outlineLevel="0" collapsed="false">
      <c r="A825" s="4" t="s">
        <v>38</v>
      </c>
      <c r="B825" s="4" t="s">
        <v>891</v>
      </c>
      <c r="C825" s="4" t="s">
        <v>63</v>
      </c>
      <c r="D825" s="5" t="n">
        <v>188.5787</v>
      </c>
      <c r="E825" s="5" t="n">
        <v>1.46</v>
      </c>
      <c r="F825" s="5" t="n">
        <v>0.00507686999622672</v>
      </c>
      <c r="G825" s="5" t="n">
        <v>1.3972</v>
      </c>
      <c r="H825" s="2" t="n">
        <f aca="false">D825*F825</f>
        <v>0.95738954395744</v>
      </c>
      <c r="I825" s="2" t="n">
        <f aca="false">IF(G825="","",D825*1000000/Inputs!$B$4^2*Inputs!$B$5/G825)</f>
        <v>0.685873437092759</v>
      </c>
      <c r="J825" s="2" t="n">
        <f aca="false">IF(C825="A",Inputs!$B$7,IF(C825="B",Inputs!$B$8,IF(C825="C",Inputs!$B$9,0)))</f>
        <v>1</v>
      </c>
      <c r="K825" s="2" t="n">
        <f aca="false">IF(AND(E825&lt;&gt;"",G825&lt;&gt;"",J825&gt;0),IF(I825&gt;=Inputs!$B$6,1,0),0)</f>
        <v>0</v>
      </c>
      <c r="L825" s="5" t="n">
        <v>1</v>
      </c>
      <c r="M825" s="5" t="n">
        <v>188.578</v>
      </c>
      <c r="N825" s="5" t="n">
        <v>0.96</v>
      </c>
      <c r="O825" s="4" t="s">
        <v>64</v>
      </c>
      <c r="P825" s="2" t="n">
        <f aca="false">IF(K825=1,J825/G825^2,0)</f>
        <v>0</v>
      </c>
      <c r="Q825" s="2" t="n">
        <f aca="false">IF(K825=1,((E825-Result!$B$7*D825)/G825)^2,0)</f>
        <v>0</v>
      </c>
    </row>
    <row r="826" customFormat="false" ht="15" hidden="false" customHeight="false" outlineLevel="0" collapsed="false">
      <c r="A826" s="4" t="s">
        <v>38</v>
      </c>
      <c r="B826" s="4" t="s">
        <v>892</v>
      </c>
      <c r="C826" s="4" t="s">
        <v>63</v>
      </c>
      <c r="D826" s="5" t="n">
        <v>187.2817</v>
      </c>
      <c r="E826" s="5" t="n">
        <v>1.85</v>
      </c>
      <c r="F826" s="5" t="n">
        <v>0.00507689939280457</v>
      </c>
      <c r="G826" s="5" t="n">
        <v>1.3972</v>
      </c>
      <c r="H826" s="2" t="n">
        <f aca="false">D826*F826</f>
        <v>0.950810349013408</v>
      </c>
      <c r="I826" s="2" t="n">
        <f aca="false">IF(G826="","",D826*1000000/Inputs!$B$4^2*Inputs!$B$5/G826)</f>
        <v>0.681156160709428</v>
      </c>
      <c r="J826" s="2" t="n">
        <f aca="false">IF(C826="A",Inputs!$B$7,IF(C826="B",Inputs!$B$8,IF(C826="C",Inputs!$B$9,0)))</f>
        <v>1</v>
      </c>
      <c r="K826" s="2" t="n">
        <f aca="false">IF(AND(E826&lt;&gt;"",G826&lt;&gt;"",J826&gt;0),IF(I826&gt;=Inputs!$B$6,1,0),0)</f>
        <v>0</v>
      </c>
      <c r="L826" s="5" t="n">
        <v>1</v>
      </c>
      <c r="M826" s="5" t="n">
        <v>187.2809</v>
      </c>
      <c r="N826" s="5" t="n">
        <v>0.95</v>
      </c>
      <c r="O826" s="4" t="s">
        <v>64</v>
      </c>
      <c r="P826" s="2" t="n">
        <f aca="false">IF(K826=1,J826/G826^2,0)</f>
        <v>0</v>
      </c>
      <c r="Q826" s="2" t="n">
        <f aca="false">IF(K826=1,((E826-Result!$B$7*D826)/G826)^2,0)</f>
        <v>0</v>
      </c>
    </row>
    <row r="827" customFormat="false" ht="15" hidden="false" customHeight="false" outlineLevel="0" collapsed="false">
      <c r="A827" s="4" t="s">
        <v>38</v>
      </c>
      <c r="B827" s="4" t="s">
        <v>893</v>
      </c>
      <c r="C827" s="4" t="s">
        <v>63</v>
      </c>
      <c r="D827" s="5" t="n">
        <v>795.3566</v>
      </c>
      <c r="E827" s="5" t="n">
        <v>5.16</v>
      </c>
      <c r="F827" s="5" t="n">
        <v>0.00507910493023131</v>
      </c>
      <c r="G827" s="5" t="n">
        <v>1.3972</v>
      </c>
      <c r="H827" s="2" t="n">
        <f aca="false">D827*F827</f>
        <v>4.03969962835202</v>
      </c>
      <c r="I827" s="2" t="n">
        <f aca="false">IF(G827="","",D827*1000000/Inputs!$B$4^2*Inputs!$B$5/G827)</f>
        <v>2.89276554009764</v>
      </c>
      <c r="J827" s="2" t="n">
        <f aca="false">IF(C827="A",Inputs!$B$7,IF(C827="B",Inputs!$B$8,IF(C827="C",Inputs!$B$9,0)))</f>
        <v>1</v>
      </c>
      <c r="K827" s="2" t="n">
        <f aca="false">IF(AND(E827&lt;&gt;"",G827&lt;&gt;"",J827&gt;0),IF(I827&gt;=Inputs!$B$6,1,0),0)</f>
        <v>1</v>
      </c>
      <c r="L827" s="5" t="n">
        <v>0</v>
      </c>
      <c r="M827" s="5" t="n">
        <v>795.3632</v>
      </c>
      <c r="N827" s="5" t="n">
        <v>4.04</v>
      </c>
      <c r="O827" s="4" t="s">
        <v>64</v>
      </c>
      <c r="P827" s="2" t="n">
        <f aca="false">IF(K827=1,J827/G827^2,0)</f>
        <v>0.512251036775608</v>
      </c>
      <c r="Q827" s="2" t="n">
        <f aca="false">IF(K827=1,((E827-Result!$B$7*D827)/G827)^2,0)</f>
        <v>0.666347900359636</v>
      </c>
    </row>
    <row r="828" customFormat="false" ht="15" hidden="false" customHeight="false" outlineLevel="0" collapsed="false">
      <c r="A828" s="4" t="s">
        <v>38</v>
      </c>
      <c r="B828" s="4" t="s">
        <v>894</v>
      </c>
      <c r="C828" s="4" t="s">
        <v>63</v>
      </c>
      <c r="D828" s="5" t="n">
        <v>587.2072</v>
      </c>
      <c r="E828" s="5" t="n">
        <v>2.44</v>
      </c>
      <c r="F828" s="5" t="n">
        <v>0.00507910356224794</v>
      </c>
      <c r="G828" s="5" t="n">
        <v>1.3972</v>
      </c>
      <c r="H828" s="2" t="n">
        <f aca="false">D828*F828</f>
        <v>2.98248618129764</v>
      </c>
      <c r="I828" s="2" t="n">
        <f aca="false">IF(G828="","",D828*1000000/Inputs!$B$4^2*Inputs!$B$5/G828)</f>
        <v>2.13571214855981</v>
      </c>
      <c r="J828" s="2" t="n">
        <f aca="false">IF(C828="A",Inputs!$B$7,IF(C828="B",Inputs!$B$8,IF(C828="C",Inputs!$B$9,0)))</f>
        <v>1</v>
      </c>
      <c r="K828" s="2" t="n">
        <f aca="false">IF(AND(E828&lt;&gt;"",G828&lt;&gt;"",J828&gt;0),IF(I828&gt;=Inputs!$B$6,1,0),0)</f>
        <v>1</v>
      </c>
      <c r="L828" s="5" t="n">
        <v>0</v>
      </c>
      <c r="M828" s="5" t="n">
        <v>587.2099</v>
      </c>
      <c r="N828" s="5" t="n">
        <v>2.98</v>
      </c>
      <c r="O828" s="4" t="s">
        <v>64</v>
      </c>
      <c r="P828" s="2" t="n">
        <f aca="false">IF(K828=1,J828/G828^2,0)</f>
        <v>0.512251036775608</v>
      </c>
      <c r="Q828" s="2" t="n">
        <f aca="false">IF(K828=1,((E828-Result!$B$7*D828)/G828)^2,0)</f>
        <v>0.142562427086903</v>
      </c>
    </row>
    <row r="829" customFormat="false" ht="15" hidden="false" customHeight="false" outlineLevel="0" collapsed="false">
      <c r="A829" s="4" t="s">
        <v>38</v>
      </c>
      <c r="B829" s="4" t="s">
        <v>895</v>
      </c>
      <c r="C829" s="4" t="s">
        <v>63</v>
      </c>
      <c r="D829" s="5" t="n">
        <v>573.9649</v>
      </c>
      <c r="E829" s="5" t="n">
        <v>3.49</v>
      </c>
      <c r="F829" s="5" t="n">
        <v>0.00507925185394523</v>
      </c>
      <c r="G829" s="5" t="n">
        <v>1.3972</v>
      </c>
      <c r="H829" s="2" t="n">
        <f aca="false">D829*F829</f>
        <v>2.91531228242449</v>
      </c>
      <c r="I829" s="2" t="n">
        <f aca="false">IF(G829="","",D829*1000000/Inputs!$B$4^2*Inputs!$B$5/G829)</f>
        <v>2.08754901128071</v>
      </c>
      <c r="J829" s="2" t="n">
        <f aca="false">IF(C829="A",Inputs!$B$7,IF(C829="B",Inputs!$B$8,IF(C829="C",Inputs!$B$9,0)))</f>
        <v>1</v>
      </c>
      <c r="K829" s="2" t="n">
        <f aca="false">IF(AND(E829&lt;&gt;"",G829&lt;&gt;"",J829&gt;0),IF(I829&gt;=Inputs!$B$6,1,0),0)</f>
        <v>1</v>
      </c>
      <c r="L829" s="5" t="n">
        <v>0</v>
      </c>
      <c r="M829" s="5" t="n">
        <v>573.9653</v>
      </c>
      <c r="N829" s="5" t="n">
        <v>2.92</v>
      </c>
      <c r="O829" s="4" t="s">
        <v>64</v>
      </c>
      <c r="P829" s="2" t="n">
        <f aca="false">IF(K829=1,J829/G829^2,0)</f>
        <v>0.512251036775608</v>
      </c>
      <c r="Q829" s="2" t="n">
        <f aca="false">IF(K829=1,((E829-Result!$B$7*D829)/G829)^2,0)</f>
        <v>0.177937099174228</v>
      </c>
    </row>
    <row r="830" customFormat="false" ht="15" hidden="false" customHeight="false" outlineLevel="0" collapsed="false">
      <c r="A830" s="4" t="s">
        <v>38</v>
      </c>
      <c r="B830" s="4" t="s">
        <v>896</v>
      </c>
      <c r="C830" s="4" t="s">
        <v>63</v>
      </c>
      <c r="D830" s="5" t="n">
        <v>242.1752</v>
      </c>
      <c r="E830" s="5" t="n">
        <v>-0.17</v>
      </c>
      <c r="F830" s="5" t="n">
        <v>0.00507919021711713</v>
      </c>
      <c r="G830" s="5" t="n">
        <v>1.3972</v>
      </c>
      <c r="H830" s="2" t="n">
        <f aca="false">D830*F830</f>
        <v>1.23005390666838</v>
      </c>
      <c r="I830" s="2" t="n">
        <f aca="false">IF(G830="","",D830*1000000/Inputs!$B$4^2*Inputs!$B$5/G830)</f>
        <v>0.880807518572491</v>
      </c>
      <c r="J830" s="2" t="n">
        <f aca="false">IF(C830="A",Inputs!$B$7,IF(C830="B",Inputs!$B$8,IF(C830="C",Inputs!$B$9,0)))</f>
        <v>1</v>
      </c>
      <c r="K830" s="2" t="n">
        <f aca="false">IF(AND(E830&lt;&gt;"",G830&lt;&gt;"",J830&gt;0),IF(I830&gt;=Inputs!$B$6,1,0),0)</f>
        <v>0</v>
      </c>
      <c r="L830" s="5" t="n">
        <v>1</v>
      </c>
      <c r="M830" s="5" t="n">
        <v>242.1765</v>
      </c>
      <c r="N830" s="5" t="n">
        <v>1.23</v>
      </c>
      <c r="O830" s="4" t="s">
        <v>64</v>
      </c>
      <c r="P830" s="2" t="n">
        <f aca="false">IF(K830=1,J830/G830^2,0)</f>
        <v>0</v>
      </c>
      <c r="Q830" s="2" t="n">
        <f aca="false">IF(K830=1,((E830-Result!$B$7*D830)/G830)^2,0)</f>
        <v>0</v>
      </c>
    </row>
    <row r="831" customFormat="false" ht="15" hidden="false" customHeight="false" outlineLevel="0" collapsed="false">
      <c r="A831" s="4" t="s">
        <v>38</v>
      </c>
      <c r="B831" s="4" t="s">
        <v>897</v>
      </c>
      <c r="C831" s="4" t="s">
        <v>63</v>
      </c>
      <c r="D831" s="5" t="n">
        <v>918.4177</v>
      </c>
      <c r="E831" s="5" t="n">
        <v>5.61</v>
      </c>
      <c r="F831" s="5" t="n">
        <v>0.00507929535043526</v>
      </c>
      <c r="G831" s="5" t="n">
        <v>1.3972</v>
      </c>
      <c r="H831" s="2" t="n">
        <f aca="false">D831*F831</f>
        <v>4.66491475336745</v>
      </c>
      <c r="I831" s="2" t="n">
        <f aca="false">IF(G831="","",D831*1000000/Inputs!$B$4^2*Inputs!$B$5/G831)</f>
        <v>3.34034705184534</v>
      </c>
      <c r="J831" s="2" t="n">
        <f aca="false">IF(C831="A",Inputs!$B$7,IF(C831="B",Inputs!$B$8,IF(C831="C",Inputs!$B$9,0)))</f>
        <v>1</v>
      </c>
      <c r="K831" s="2" t="n">
        <f aca="false">IF(AND(E831&lt;&gt;"",G831&lt;&gt;"",J831&gt;0),IF(I831&gt;=Inputs!$B$6,1,0),0)</f>
        <v>1</v>
      </c>
      <c r="L831" s="5" t="n">
        <v>0</v>
      </c>
      <c r="M831" s="5" t="n">
        <v>918.4233</v>
      </c>
      <c r="N831" s="5" t="n">
        <v>4.67</v>
      </c>
      <c r="O831" s="4" t="s">
        <v>64</v>
      </c>
      <c r="P831" s="2" t="n">
        <f aca="false">IF(K831=1,J831/G831^2,0)</f>
        <v>0.512251036775608</v>
      </c>
      <c r="Q831" s="2" t="n">
        <f aca="false">IF(K831=1,((E831-Result!$B$7*D831)/G831)^2,0)</f>
        <v>0.48061352108679</v>
      </c>
    </row>
    <row r="832" customFormat="false" ht="15" hidden="false" customHeight="false" outlineLevel="0" collapsed="false">
      <c r="A832" s="4" t="s">
        <v>38</v>
      </c>
      <c r="B832" s="4" t="s">
        <v>898</v>
      </c>
      <c r="C832" s="4" t="s">
        <v>63</v>
      </c>
      <c r="D832" s="5" t="n">
        <v>586.6335</v>
      </c>
      <c r="E832" s="5" t="n">
        <v>1.95</v>
      </c>
      <c r="F832" s="5" t="n">
        <v>0.00507929398453897</v>
      </c>
      <c r="G832" s="5" t="n">
        <v>1.3972</v>
      </c>
      <c r="H832" s="2" t="n">
        <f aca="false">D832*F832</f>
        <v>2.97968400767904</v>
      </c>
      <c r="I832" s="2" t="n">
        <f aca="false">IF(G832="","",D832*1000000/Inputs!$B$4^2*Inputs!$B$5/G832)</f>
        <v>2.13362556300767</v>
      </c>
      <c r="J832" s="2" t="n">
        <f aca="false">IF(C832="A",Inputs!$B$7,IF(C832="B",Inputs!$B$8,IF(C832="C",Inputs!$B$9,0)))</f>
        <v>1</v>
      </c>
      <c r="K832" s="2" t="n">
        <f aca="false">IF(AND(E832&lt;&gt;"",G832&lt;&gt;"",J832&gt;0),IF(I832&gt;=Inputs!$B$6,1,0),0)</f>
        <v>1</v>
      </c>
      <c r="L832" s="5" t="n">
        <v>0</v>
      </c>
      <c r="M832" s="5" t="n">
        <v>586.6345</v>
      </c>
      <c r="N832" s="5" t="n">
        <v>2.98</v>
      </c>
      <c r="O832" s="4" t="s">
        <v>64</v>
      </c>
      <c r="P832" s="2" t="n">
        <f aca="false">IF(K832=1,J832/G832^2,0)</f>
        <v>0.512251036775608</v>
      </c>
      <c r="Q832" s="2" t="n">
        <f aca="false">IF(K832=1,((E832-Result!$B$7*D832)/G832)^2,0)</f>
        <v>0.527367505213321</v>
      </c>
    </row>
    <row r="833" customFormat="false" ht="15" hidden="false" customHeight="false" outlineLevel="0" collapsed="false">
      <c r="A833" s="4" t="s">
        <v>38</v>
      </c>
      <c r="B833" s="4" t="s">
        <v>899</v>
      </c>
      <c r="C833" s="4" t="s">
        <v>63</v>
      </c>
      <c r="D833" s="5" t="n">
        <v>1159.5622</v>
      </c>
      <c r="E833" s="5" t="n">
        <v>5.98</v>
      </c>
      <c r="F833" s="5" t="n">
        <v>0.00507935778651867</v>
      </c>
      <c r="G833" s="5" t="n">
        <v>1.3972</v>
      </c>
      <c r="H833" s="2" t="n">
        <f aca="false">D833*F833</f>
        <v>5.88983128952272</v>
      </c>
      <c r="I833" s="2" t="n">
        <f aca="false">IF(G833="","",D833*1000000/Inputs!$B$4^2*Inputs!$B$5/G833)</f>
        <v>4.21740584507604</v>
      </c>
      <c r="J833" s="2" t="n">
        <f aca="false">IF(C833="A",Inputs!$B$7,IF(C833="B",Inputs!$B$8,IF(C833="C",Inputs!$B$9,0)))</f>
        <v>1</v>
      </c>
      <c r="K833" s="2" t="n">
        <f aca="false">IF(AND(E833&lt;&gt;"",G833&lt;&gt;"",J833&gt;0),IF(I833&gt;=Inputs!$B$6,1,0),0)</f>
        <v>1</v>
      </c>
      <c r="L833" s="5" t="n">
        <v>0</v>
      </c>
      <c r="M833" s="5" t="n">
        <v>1159.5765</v>
      </c>
      <c r="N833" s="5" t="n">
        <v>5.89</v>
      </c>
      <c r="O833" s="4" t="s">
        <v>64</v>
      </c>
      <c r="P833" s="2" t="n">
        <f aca="false">IF(K833=1,J833/G833^2,0)</f>
        <v>0.512251036775608</v>
      </c>
      <c r="Q833" s="2" t="n">
        <f aca="false">IF(K833=1,((E833-Result!$B$7*D833)/G833)^2,0)</f>
        <v>0.00737200241309515</v>
      </c>
    </row>
    <row r="834" customFormat="false" ht="15" hidden="false" customHeight="false" outlineLevel="0" collapsed="false">
      <c r="A834" s="4" t="s">
        <v>38</v>
      </c>
      <c r="B834" s="4" t="s">
        <v>900</v>
      </c>
      <c r="C834" s="4" t="s">
        <v>63</v>
      </c>
      <c r="D834" s="5" t="n">
        <v>205.8254</v>
      </c>
      <c r="E834" s="5" t="n">
        <v>2.65</v>
      </c>
      <c r="F834" s="5" t="n">
        <v>0.00507946277637438</v>
      </c>
      <c r="G834" s="5" t="n">
        <v>1.3972</v>
      </c>
      <c r="H834" s="2" t="n">
        <f aca="false">D834*F834</f>
        <v>1.04548245773237</v>
      </c>
      <c r="I834" s="2" t="n">
        <f aca="false">IF(G834="","",D834*1000000/Inputs!$B$4^2*Inputs!$B$5/G834)</f>
        <v>0.748600846961995</v>
      </c>
      <c r="J834" s="2" t="n">
        <f aca="false">IF(C834="A",Inputs!$B$7,IF(C834="B",Inputs!$B$8,IF(C834="C",Inputs!$B$9,0)))</f>
        <v>1</v>
      </c>
      <c r="K834" s="2" t="n">
        <f aca="false">IF(AND(E834&lt;&gt;"",G834&lt;&gt;"",J834&gt;0),IF(I834&gt;=Inputs!$B$6,1,0),0)</f>
        <v>0</v>
      </c>
      <c r="L834" s="5" t="n">
        <v>1</v>
      </c>
      <c r="M834" s="5" t="n">
        <v>205.8248</v>
      </c>
      <c r="N834" s="5" t="n">
        <v>1.05</v>
      </c>
      <c r="O834" s="4" t="s">
        <v>64</v>
      </c>
      <c r="P834" s="2" t="n">
        <f aca="false">IF(K834=1,J834/G834^2,0)</f>
        <v>0</v>
      </c>
      <c r="Q834" s="2" t="n">
        <f aca="false">IF(K834=1,((E834-Result!$B$7*D834)/G834)^2,0)</f>
        <v>0</v>
      </c>
    </row>
    <row r="835" customFormat="false" ht="15" hidden="false" customHeight="false" outlineLevel="0" collapsed="false">
      <c r="A835" s="4" t="s">
        <v>38</v>
      </c>
      <c r="B835" s="4" t="s">
        <v>901</v>
      </c>
      <c r="C835" s="4" t="s">
        <v>63</v>
      </c>
      <c r="D835" s="5" t="n">
        <v>851.2094</v>
      </c>
      <c r="E835" s="5" t="n">
        <v>3.37</v>
      </c>
      <c r="F835" s="5" t="n">
        <v>0.00507939988075351</v>
      </c>
      <c r="G835" s="5" t="n">
        <v>1.3972</v>
      </c>
      <c r="H835" s="2" t="n">
        <f aca="false">D835*F835</f>
        <v>4.32363292485626</v>
      </c>
      <c r="I835" s="2" t="n">
        <f aca="false">IF(G835="","",D835*1000000/Inputs!$B$4^2*Inputs!$B$5/G835)</f>
        <v>3.09590593669203</v>
      </c>
      <c r="J835" s="2" t="n">
        <f aca="false">IF(C835="A",Inputs!$B$7,IF(C835="B",Inputs!$B$8,IF(C835="C",Inputs!$B$9,0)))</f>
        <v>1</v>
      </c>
      <c r="K835" s="2" t="n">
        <f aca="false">IF(AND(E835&lt;&gt;"",G835&lt;&gt;"",J835&gt;0),IF(I835&gt;=Inputs!$B$6,1,0),0)</f>
        <v>1</v>
      </c>
      <c r="L835" s="5" t="n">
        <v>0</v>
      </c>
      <c r="M835" s="5" t="n">
        <v>851.2157</v>
      </c>
      <c r="N835" s="5" t="n">
        <v>4.32</v>
      </c>
      <c r="O835" s="4" t="s">
        <v>64</v>
      </c>
      <c r="P835" s="2" t="n">
        <f aca="false">IF(K835=1,J835/G835^2,0)</f>
        <v>0.512251036775608</v>
      </c>
      <c r="Q835" s="2" t="n">
        <f aca="false">IF(K835=1,((E835-Result!$B$7*D835)/G835)^2,0)</f>
        <v>0.444690949919754</v>
      </c>
    </row>
    <row r="836" customFormat="false" ht="15" hidden="false" customHeight="false" outlineLevel="0" collapsed="false">
      <c r="A836" s="4" t="s">
        <v>38</v>
      </c>
      <c r="B836" s="4" t="s">
        <v>902</v>
      </c>
      <c r="C836" s="4" t="s">
        <v>63</v>
      </c>
      <c r="D836" s="5" t="n">
        <v>791.4318</v>
      </c>
      <c r="E836" s="5" t="n">
        <v>5.14</v>
      </c>
      <c r="F836" s="5" t="n">
        <v>0.00507946141235372</v>
      </c>
      <c r="G836" s="5" t="n">
        <v>1.3972</v>
      </c>
      <c r="H836" s="2" t="n">
        <f aca="false">D836*F836</f>
        <v>4.02004728860965</v>
      </c>
      <c r="I836" s="2" t="n">
        <f aca="false">IF(G836="","",D836*1000000/Inputs!$B$4^2*Inputs!$B$5/G836)</f>
        <v>2.87849077807042</v>
      </c>
      <c r="J836" s="2" t="n">
        <f aca="false">IF(C836="A",Inputs!$B$7,IF(C836="B",Inputs!$B$8,IF(C836="C",Inputs!$B$9,0)))</f>
        <v>1</v>
      </c>
      <c r="K836" s="2" t="n">
        <f aca="false">IF(AND(E836&lt;&gt;"",G836&lt;&gt;"",J836&gt;0),IF(I836&gt;=Inputs!$B$6,1,0),0)</f>
        <v>1</v>
      </c>
      <c r="L836" s="5" t="n">
        <v>0</v>
      </c>
      <c r="M836" s="5" t="n">
        <v>791.436</v>
      </c>
      <c r="N836" s="5" t="n">
        <v>4.02</v>
      </c>
      <c r="O836" s="4" t="s">
        <v>64</v>
      </c>
      <c r="P836" s="2" t="n">
        <f aca="false">IF(K836=1,J836/G836^2,0)</f>
        <v>0.512251036775608</v>
      </c>
      <c r="Q836" s="2" t="n">
        <f aca="false">IF(K836=1,((E836-Result!$B$7*D836)/G836)^2,0)</f>
        <v>0.666154664091578</v>
      </c>
    </row>
    <row r="837" customFormat="false" ht="15" hidden="false" customHeight="false" outlineLevel="0" collapsed="false">
      <c r="A837" s="4" t="s">
        <v>38</v>
      </c>
      <c r="B837" s="4" t="s">
        <v>903</v>
      </c>
      <c r="C837" s="4" t="s">
        <v>63</v>
      </c>
      <c r="D837" s="5" t="n">
        <v>1768.5893</v>
      </c>
      <c r="E837" s="5" t="n">
        <v>9.52</v>
      </c>
      <c r="F837" s="5" t="n">
        <v>0.0050794012454679</v>
      </c>
      <c r="G837" s="5" t="n">
        <v>1.3972</v>
      </c>
      <c r="H837" s="2" t="n">
        <f aca="false">D837*F837</f>
        <v>8.98337469314121</v>
      </c>
      <c r="I837" s="2" t="n">
        <f aca="false">IF(G837="","",D837*1000000/Inputs!$B$4^2*Inputs!$B$5/G837)</f>
        <v>6.43247844001723</v>
      </c>
      <c r="J837" s="2" t="n">
        <f aca="false">IF(C837="A",Inputs!$B$7,IF(C837="B",Inputs!$B$8,IF(C837="C",Inputs!$B$9,0)))</f>
        <v>1</v>
      </c>
      <c r="K837" s="2" t="n">
        <f aca="false">IF(AND(E837&lt;&gt;"",G837&lt;&gt;"",J837&gt;0),IF(I837&gt;=Inputs!$B$6,1,0),0)</f>
        <v>1</v>
      </c>
      <c r="L837" s="5" t="n">
        <v>1</v>
      </c>
      <c r="M837" s="5" t="n">
        <v>1768.6157</v>
      </c>
      <c r="N837" s="5" t="n">
        <v>8.99</v>
      </c>
      <c r="O837" s="4" t="s">
        <v>64</v>
      </c>
      <c r="P837" s="2" t="n">
        <f aca="false">IF(K837=1,J837/G837^2,0)</f>
        <v>0.512251036775608</v>
      </c>
      <c r="Q837" s="2" t="n">
        <f aca="false">IF(K837=1,((E837-Result!$B$7*D837)/G837)^2,0)</f>
        <v>0.173599228763687</v>
      </c>
    </row>
    <row r="838" customFormat="false" ht="15" hidden="false" customHeight="false" outlineLevel="0" collapsed="false">
      <c r="A838" s="4" t="s">
        <v>38</v>
      </c>
      <c r="B838" s="4" t="s">
        <v>904</v>
      </c>
      <c r="C838" s="4" t="s">
        <v>63</v>
      </c>
      <c r="D838" s="5" t="n">
        <v>1056.012</v>
      </c>
      <c r="E838" s="5" t="n">
        <v>6.56</v>
      </c>
      <c r="F838" s="5" t="n">
        <v>0.00507950483411054</v>
      </c>
      <c r="G838" s="5" t="n">
        <v>1.3972</v>
      </c>
      <c r="H838" s="2" t="n">
        <f aca="false">D838*F838</f>
        <v>5.36401805887874</v>
      </c>
      <c r="I838" s="2" t="n">
        <f aca="false">IF(G838="","",D838*1000000/Inputs!$B$4^2*Inputs!$B$5/G838)</f>
        <v>3.84078679114448</v>
      </c>
      <c r="J838" s="2" t="n">
        <f aca="false">IF(C838="A",Inputs!$B$7,IF(C838="B",Inputs!$B$8,IF(C838="C",Inputs!$B$9,0)))</f>
        <v>1</v>
      </c>
      <c r="K838" s="2" t="n">
        <f aca="false">IF(AND(E838&lt;&gt;"",G838&lt;&gt;"",J838&gt;0),IF(I838&gt;=Inputs!$B$6,1,0),0)</f>
        <v>1</v>
      </c>
      <c r="L838" s="5" t="n">
        <v>0</v>
      </c>
      <c r="M838" s="5" t="n">
        <v>1056.0172</v>
      </c>
      <c r="N838" s="5" t="n">
        <v>5.37</v>
      </c>
      <c r="O838" s="4" t="s">
        <v>64</v>
      </c>
      <c r="P838" s="2" t="n">
        <f aca="false">IF(K838=1,J838/G838^2,0)</f>
        <v>0.512251036775608</v>
      </c>
      <c r="Q838" s="2" t="n">
        <f aca="false">IF(K838=1,((E838-Result!$B$7*D838)/G838)^2,0)</f>
        <v>0.7665293950463</v>
      </c>
    </row>
    <row r="839" customFormat="false" ht="15" hidden="false" customHeight="false" outlineLevel="0" collapsed="false">
      <c r="A839" s="4" t="s">
        <v>38</v>
      </c>
      <c r="B839" s="4" t="s">
        <v>905</v>
      </c>
      <c r="C839" s="4" t="s">
        <v>63</v>
      </c>
      <c r="D839" s="5" t="n">
        <v>398.2983</v>
      </c>
      <c r="E839" s="5" t="n">
        <v>0.28</v>
      </c>
      <c r="F839" s="5" t="n">
        <v>0.00507936051324013</v>
      </c>
      <c r="G839" s="5" t="n">
        <v>1.3972</v>
      </c>
      <c r="H839" s="2" t="n">
        <f aca="false">D839*F839</f>
        <v>2.02310065751067</v>
      </c>
      <c r="I839" s="2" t="n">
        <f aca="false">IF(G839="","",D839*1000000/Inputs!$B$4^2*Inputs!$B$5/G839)</f>
        <v>1.44863775182034</v>
      </c>
      <c r="J839" s="2" t="n">
        <f aca="false">IF(C839="A",Inputs!$B$7,IF(C839="B",Inputs!$B$8,IF(C839="C",Inputs!$B$9,0)))</f>
        <v>1</v>
      </c>
      <c r="K839" s="2" t="n">
        <f aca="false">IF(AND(E839&lt;&gt;"",G839&lt;&gt;"",J839&gt;0),IF(I839&gt;=Inputs!$B$6,1,0),0)</f>
        <v>0</v>
      </c>
      <c r="L839" s="5" t="n">
        <v>0</v>
      </c>
      <c r="M839" s="5" t="n">
        <v>398.3032</v>
      </c>
      <c r="N839" s="5" t="n">
        <v>2.02</v>
      </c>
      <c r="O839" s="4" t="s">
        <v>64</v>
      </c>
      <c r="P839" s="2" t="n">
        <f aca="false">IF(K839=1,J839/G839^2,0)</f>
        <v>0</v>
      </c>
      <c r="Q839" s="2" t="n">
        <f aca="false">IF(K839=1,((E839-Result!$B$7*D839)/G839)^2,0)</f>
        <v>0</v>
      </c>
    </row>
    <row r="840" customFormat="false" ht="15" hidden="false" customHeight="false" outlineLevel="0" collapsed="false">
      <c r="A840" s="4" t="s">
        <v>38</v>
      </c>
      <c r="B840" s="4" t="s">
        <v>906</v>
      </c>
      <c r="C840" s="4" t="s">
        <v>63</v>
      </c>
      <c r="D840" s="5" t="n">
        <v>1345.6474</v>
      </c>
      <c r="E840" s="5" t="n">
        <v>5.96</v>
      </c>
      <c r="F840" s="5" t="n">
        <v>0.00507942206480341</v>
      </c>
      <c r="G840" s="5" t="n">
        <v>1.3972</v>
      </c>
      <c r="H840" s="2" t="n">
        <f aca="false">D840*F840</f>
        <v>6.83511109500534</v>
      </c>
      <c r="I840" s="2" t="n">
        <f aca="false">IF(G840="","",D840*1000000/Inputs!$B$4^2*Inputs!$B$5/G840)</f>
        <v>4.89421025467317</v>
      </c>
      <c r="J840" s="2" t="n">
        <f aca="false">IF(C840="A",Inputs!$B$7,IF(C840="B",Inputs!$B$8,IF(C840="C",Inputs!$B$9,0)))</f>
        <v>1</v>
      </c>
      <c r="K840" s="2" t="n">
        <f aca="false">IF(AND(E840&lt;&gt;"",G840&lt;&gt;"",J840&gt;0),IF(I840&gt;=Inputs!$B$6,1,0),0)</f>
        <v>1</v>
      </c>
      <c r="L840" s="5" t="n">
        <v>0</v>
      </c>
      <c r="M840" s="5" t="n">
        <v>1345.6656</v>
      </c>
      <c r="N840" s="5" t="n">
        <v>6.84</v>
      </c>
      <c r="O840" s="4" t="s">
        <v>64</v>
      </c>
      <c r="P840" s="2" t="n">
        <f aca="false">IF(K840=1,J840/G840^2,0)</f>
        <v>0.512251036775608</v>
      </c>
      <c r="Q840" s="2" t="n">
        <f aca="false">IF(K840=1,((E840-Result!$B$7*D840)/G840)^2,0)</f>
        <v>0.361829696324155</v>
      </c>
    </row>
    <row r="841" customFormat="false" ht="15" hidden="false" customHeight="false" outlineLevel="0" collapsed="false">
      <c r="A841" s="4" t="s">
        <v>38</v>
      </c>
      <c r="B841" s="4" t="s">
        <v>907</v>
      </c>
      <c r="C841" s="4" t="s">
        <v>63</v>
      </c>
      <c r="D841" s="5" t="n">
        <v>1157.3232</v>
      </c>
      <c r="E841" s="5" t="n">
        <v>4.29</v>
      </c>
      <c r="F841" s="5" t="n">
        <v>0.00507946550073719</v>
      </c>
      <c r="G841" s="5" t="n">
        <v>1.3972</v>
      </c>
      <c r="H841" s="2" t="n">
        <f aca="false">D841*F841</f>
        <v>5.87858326760277</v>
      </c>
      <c r="I841" s="2" t="n">
        <f aca="false">IF(G841="","",D841*1000000/Inputs!$B$4^2*Inputs!$B$5/G841)</f>
        <v>4.20926245122694</v>
      </c>
      <c r="J841" s="2" t="n">
        <f aca="false">IF(C841="A",Inputs!$B$7,IF(C841="B",Inputs!$B$8,IF(C841="C",Inputs!$B$9,0)))</f>
        <v>1</v>
      </c>
      <c r="K841" s="2" t="n">
        <f aca="false">IF(AND(E841&lt;&gt;"",G841&lt;&gt;"",J841&gt;0),IF(I841&gt;=Inputs!$B$6,1,0),0)</f>
        <v>1</v>
      </c>
      <c r="L841" s="5" t="n">
        <v>0</v>
      </c>
      <c r="M841" s="5" t="n">
        <v>1157.3343</v>
      </c>
      <c r="N841" s="5" t="n">
        <v>5.88</v>
      </c>
      <c r="O841" s="4" t="s">
        <v>64</v>
      </c>
      <c r="P841" s="2" t="n">
        <f aca="false">IF(K841=1,J841/G841^2,0)</f>
        <v>0.512251036775608</v>
      </c>
      <c r="Q841" s="2" t="n">
        <f aca="false">IF(K841=1,((E841-Result!$B$7*D841)/G841)^2,0)</f>
        <v>1.24457042919716</v>
      </c>
    </row>
    <row r="842" customFormat="false" ht="15" hidden="false" customHeight="false" outlineLevel="0" collapsed="false">
      <c r="A842" s="4" t="s">
        <v>38</v>
      </c>
      <c r="B842" s="4" t="s">
        <v>908</v>
      </c>
      <c r="C842" s="4" t="s">
        <v>63</v>
      </c>
      <c r="D842" s="5" t="n">
        <v>962.2771</v>
      </c>
      <c r="E842" s="5" t="n">
        <v>4.47</v>
      </c>
      <c r="F842" s="5" t="n">
        <v>0.00507957124700509</v>
      </c>
      <c r="G842" s="5" t="n">
        <v>1.3972</v>
      </c>
      <c r="H842" s="2" t="n">
        <f aca="false">D842*F842</f>
        <v>4.88795508881144</v>
      </c>
      <c r="I842" s="2" t="n">
        <f aca="false">IF(G842="","",D842*1000000/Inputs!$B$4^2*Inputs!$B$5/G842)</f>
        <v>3.4998666446033</v>
      </c>
      <c r="J842" s="2" t="n">
        <f aca="false">IF(C842="A",Inputs!$B$7,IF(C842="B",Inputs!$B$8,IF(C842="C",Inputs!$B$9,0)))</f>
        <v>1</v>
      </c>
      <c r="K842" s="2" t="n">
        <f aca="false">IF(AND(E842&lt;&gt;"",G842&lt;&gt;"",J842&gt;0),IF(I842&gt;=Inputs!$B$6,1,0),0)</f>
        <v>1</v>
      </c>
      <c r="L842" s="5" t="n">
        <v>0</v>
      </c>
      <c r="M842" s="5" t="n">
        <v>962.2825</v>
      </c>
      <c r="N842" s="5" t="n">
        <v>4.89</v>
      </c>
      <c r="O842" s="4" t="s">
        <v>64</v>
      </c>
      <c r="P842" s="2" t="n">
        <f aca="false">IF(K842=1,J842/G842^2,0)</f>
        <v>0.512251036775608</v>
      </c>
      <c r="Q842" s="2" t="n">
        <f aca="false">IF(K842=1,((E842-Result!$B$7*D842)/G842)^2,0)</f>
        <v>0.0791261642850641</v>
      </c>
    </row>
    <row r="843" customFormat="false" ht="15" hidden="false" customHeight="false" outlineLevel="0" collapsed="false">
      <c r="A843" s="4" t="s">
        <v>38</v>
      </c>
      <c r="B843" s="4" t="s">
        <v>909</v>
      </c>
      <c r="C843" s="4" t="s">
        <v>63</v>
      </c>
      <c r="D843" s="5" t="n">
        <v>860.9559</v>
      </c>
      <c r="E843" s="5" t="n">
        <v>6.74</v>
      </c>
      <c r="F843" s="5" t="n">
        <v>0.00507963269059903</v>
      </c>
      <c r="G843" s="5" t="n">
        <v>1.3972</v>
      </c>
      <c r="H843" s="2" t="n">
        <f aca="false">D843*F843</f>
        <v>4.37333973480411</v>
      </c>
      <c r="I843" s="2" t="n">
        <f aca="false">IF(G843="","",D843*1000000/Inputs!$B$4^2*Inputs!$B$5/G843)</f>
        <v>3.13135461384711</v>
      </c>
      <c r="J843" s="2" t="n">
        <f aca="false">IF(C843="A",Inputs!$B$7,IF(C843="B",Inputs!$B$8,IF(C843="C",Inputs!$B$9,0)))</f>
        <v>1</v>
      </c>
      <c r="K843" s="2" t="n">
        <f aca="false">IF(AND(E843&lt;&gt;"",G843&lt;&gt;"",J843&gt;0),IF(I843&gt;=Inputs!$B$6,1,0),0)</f>
        <v>1</v>
      </c>
      <c r="L843" s="5" t="n">
        <v>0</v>
      </c>
      <c r="M843" s="5" t="n">
        <v>860.9654</v>
      </c>
      <c r="N843" s="5" t="n">
        <v>4.37</v>
      </c>
      <c r="O843" s="4" t="s">
        <v>64</v>
      </c>
      <c r="P843" s="2" t="n">
        <f aca="false">IF(K843=1,J843/G843^2,0)</f>
        <v>0.512251036775608</v>
      </c>
      <c r="Q843" s="2" t="n">
        <f aca="false">IF(K843=1,((E843-Result!$B$7*D843)/G843)^2,0)</f>
        <v>2.92362891328636</v>
      </c>
    </row>
    <row r="844" customFormat="false" ht="15" hidden="false" customHeight="false" outlineLevel="0" collapsed="false">
      <c r="A844" s="4" t="s">
        <v>38</v>
      </c>
      <c r="B844" s="4" t="s">
        <v>910</v>
      </c>
      <c r="C844" s="4" t="s">
        <v>63</v>
      </c>
      <c r="D844" s="5" t="n">
        <v>1415.1773</v>
      </c>
      <c r="E844" s="5" t="n">
        <v>7.56</v>
      </c>
      <c r="F844" s="5" t="n">
        <v>0.00507952784933784</v>
      </c>
      <c r="G844" s="5" t="n">
        <v>1.3972</v>
      </c>
      <c r="H844" s="2" t="n">
        <f aca="false">D844*F844</f>
        <v>7.18843250710074</v>
      </c>
      <c r="I844" s="2" t="n">
        <f aca="false">IF(G844="","",D844*1000000/Inputs!$B$4^2*Inputs!$B$5/G844)</f>
        <v>5.14709518544062</v>
      </c>
      <c r="J844" s="2" t="n">
        <f aca="false">IF(C844="A",Inputs!$B$7,IF(C844="B",Inputs!$B$8,IF(C844="C",Inputs!$B$9,0)))</f>
        <v>1</v>
      </c>
      <c r="K844" s="2" t="n">
        <f aca="false">IF(AND(E844&lt;&gt;"",G844&lt;&gt;"",J844&gt;0),IF(I844&gt;=Inputs!$B$6,1,0),0)</f>
        <v>1</v>
      </c>
      <c r="L844" s="5" t="n">
        <v>0</v>
      </c>
      <c r="M844" s="5" t="n">
        <v>1415.195</v>
      </c>
      <c r="N844" s="5" t="n">
        <v>7.19</v>
      </c>
      <c r="O844" s="4" t="s">
        <v>64</v>
      </c>
      <c r="P844" s="2" t="n">
        <f aca="false">IF(K844=1,J844/G844^2,0)</f>
        <v>0.512251036775608</v>
      </c>
      <c r="Q844" s="2" t="n">
        <f aca="false">IF(K844=1,((E844-Result!$B$7*D844)/G844)^2,0)</f>
        <v>0.0853431341945682</v>
      </c>
    </row>
    <row r="845" customFormat="false" ht="15" hidden="false" customHeight="false" outlineLevel="0" collapsed="false">
      <c r="A845" s="4" t="s">
        <v>38</v>
      </c>
      <c r="B845" s="4" t="s">
        <v>911</v>
      </c>
      <c r="C845" s="4" t="s">
        <v>63</v>
      </c>
      <c r="D845" s="5" t="n">
        <v>1993.8067</v>
      </c>
      <c r="E845" s="5" t="n">
        <v>9.06</v>
      </c>
      <c r="F845" s="5" t="n">
        <v>0.00507969381550202</v>
      </c>
      <c r="G845" s="5" t="n">
        <v>1.3972</v>
      </c>
      <c r="H845" s="2" t="n">
        <f aca="false">D845*F845</f>
        <v>10.1279275632965</v>
      </c>
      <c r="I845" s="2" t="n">
        <f aca="false">IF(G845="","",D845*1000000/Inputs!$B$4^2*Inputs!$B$5/G845)</f>
        <v>7.25160929748466</v>
      </c>
      <c r="J845" s="2" t="n">
        <f aca="false">IF(C845="A",Inputs!$B$7,IF(C845="B",Inputs!$B$8,IF(C845="C",Inputs!$B$9,0)))</f>
        <v>1</v>
      </c>
      <c r="K845" s="2" t="n">
        <f aca="false">IF(AND(E845&lt;&gt;"",G845&lt;&gt;"",J845&gt;0),IF(I845&gt;=Inputs!$B$6,1,0),0)</f>
        <v>1</v>
      </c>
      <c r="L845" s="5" t="n">
        <v>1</v>
      </c>
      <c r="M845" s="5" t="n">
        <v>1993.8466</v>
      </c>
      <c r="N845" s="5" t="n">
        <v>10.13</v>
      </c>
      <c r="O845" s="4" t="s">
        <v>64</v>
      </c>
      <c r="P845" s="2" t="n">
        <f aca="false">IF(K845=1,J845/G845^2,0)</f>
        <v>0.512251036775608</v>
      </c>
      <c r="Q845" s="2" t="n">
        <f aca="false">IF(K845=1,((E845-Result!$B$7*D845)/G845)^2,0)</f>
        <v>0.528801231845059</v>
      </c>
    </row>
    <row r="846" customFormat="false" ht="15" hidden="false" customHeight="false" outlineLevel="0" collapsed="false">
      <c r="A846" s="4" t="s">
        <v>38</v>
      </c>
      <c r="B846" s="4" t="s">
        <v>912</v>
      </c>
      <c r="C846" s="4" t="s">
        <v>63</v>
      </c>
      <c r="D846" s="5" t="n">
        <v>86.9393</v>
      </c>
      <c r="E846" s="5" t="n">
        <v>-0.19</v>
      </c>
      <c r="F846" s="5" t="n">
        <v>0.00507965454469375</v>
      </c>
      <c r="G846" s="5" t="n">
        <v>1.3972</v>
      </c>
      <c r="H846" s="2" t="n">
        <f aca="false">D846*F846</f>
        <v>0.441621610357493</v>
      </c>
      <c r="I846" s="2" t="n">
        <f aca="false">IF(G846="","",D846*1000000/Inputs!$B$4^2*Inputs!$B$5/G846)</f>
        <v>0.316204091498343</v>
      </c>
      <c r="J846" s="2" t="n">
        <f aca="false">IF(C846="A",Inputs!$B$7,IF(C846="B",Inputs!$B$8,IF(C846="C",Inputs!$B$9,0)))</f>
        <v>1</v>
      </c>
      <c r="K846" s="2" t="n">
        <f aca="false">IF(AND(E846&lt;&gt;"",G846&lt;&gt;"",J846&gt;0),IF(I846&gt;=Inputs!$B$6,1,0),0)</f>
        <v>0</v>
      </c>
      <c r="L846" s="5" t="n">
        <v>0</v>
      </c>
      <c r="M846" s="5" t="n">
        <v>86.9345</v>
      </c>
      <c r="N846" s="5" t="n">
        <v>0.44</v>
      </c>
      <c r="O846" s="4" t="s">
        <v>64</v>
      </c>
      <c r="P846" s="2" t="n">
        <f aca="false">IF(K846=1,J846/G846^2,0)</f>
        <v>0</v>
      </c>
      <c r="Q846" s="2" t="n">
        <f aca="false">IF(K846=1,((E846-Result!$B$7*D846)/G846)^2,0)</f>
        <v>0</v>
      </c>
    </row>
    <row r="847" customFormat="false" ht="15" hidden="false" customHeight="false" outlineLevel="0" collapsed="false">
      <c r="A847" s="4" t="s">
        <v>38</v>
      </c>
      <c r="B847" s="4" t="s">
        <v>913</v>
      </c>
      <c r="C847" s="4" t="s">
        <v>63</v>
      </c>
      <c r="D847" s="5" t="n">
        <v>944.6192</v>
      </c>
      <c r="E847" s="5" t="n">
        <v>4.78</v>
      </c>
      <c r="F847" s="5" t="n">
        <v>0.00507982146659669</v>
      </c>
      <c r="G847" s="5" t="n">
        <v>1.3972</v>
      </c>
      <c r="H847" s="2" t="n">
        <f aca="false">D847*F847</f>
        <v>4.79849688991939</v>
      </c>
      <c r="I847" s="2" t="n">
        <f aca="false">IF(G847="","",D847*1000000/Inputs!$B$4^2*Inputs!$B$5/G847)</f>
        <v>3.43564367263011</v>
      </c>
      <c r="J847" s="2" t="n">
        <f aca="false">IF(C847="A",Inputs!$B$7,IF(C847="B",Inputs!$B$8,IF(C847="C",Inputs!$B$9,0)))</f>
        <v>1</v>
      </c>
      <c r="K847" s="2" t="n">
        <f aca="false">IF(AND(E847&lt;&gt;"",G847&lt;&gt;"",J847&gt;0),IF(I847&gt;=Inputs!$B$6,1,0),0)</f>
        <v>1</v>
      </c>
      <c r="L847" s="5" t="n">
        <v>0</v>
      </c>
      <c r="M847" s="5" t="n">
        <v>944.6297</v>
      </c>
      <c r="N847" s="5" t="n">
        <v>4.8</v>
      </c>
      <c r="O847" s="4" t="s">
        <v>64</v>
      </c>
      <c r="P847" s="2" t="n">
        <f aca="false">IF(K847=1,J847/G847^2,0)</f>
        <v>0.512251036775608</v>
      </c>
      <c r="Q847" s="2" t="n">
        <f aca="false">IF(K847=1,((E847-Result!$B$7*D847)/G847)^2,0)</f>
        <v>1.97765289076969E-005</v>
      </c>
    </row>
    <row r="848" customFormat="false" ht="15" hidden="false" customHeight="false" outlineLevel="0" collapsed="false">
      <c r="A848" s="4" t="s">
        <v>38</v>
      </c>
      <c r="B848" s="4" t="s">
        <v>914</v>
      </c>
      <c r="C848" s="4" t="s">
        <v>63</v>
      </c>
      <c r="D848" s="5" t="n">
        <v>1614.0558</v>
      </c>
      <c r="E848" s="5" t="n">
        <v>8.43</v>
      </c>
      <c r="F848" s="5" t="n">
        <v>0.00507984557945375</v>
      </c>
      <c r="G848" s="5" t="n">
        <v>1.3972</v>
      </c>
      <c r="H848" s="2" t="n">
        <f aca="false">D848*F848</f>
        <v>8.19915422062169</v>
      </c>
      <c r="I848" s="2" t="n">
        <f aca="false">IF(G848="","",D848*1000000/Inputs!$B$4^2*Inputs!$B$5/G848)</f>
        <v>5.87042968906617</v>
      </c>
      <c r="J848" s="2" t="n">
        <f aca="false">IF(C848="A",Inputs!$B$7,IF(C848="B",Inputs!$B$8,IF(C848="C",Inputs!$B$9,0)))</f>
        <v>1</v>
      </c>
      <c r="K848" s="2" t="n">
        <f aca="false">IF(AND(E848&lt;&gt;"",G848&lt;&gt;"",J848&gt;0),IF(I848&gt;=Inputs!$B$6,1,0),0)</f>
        <v>1</v>
      </c>
      <c r="L848" s="5" t="n">
        <v>0</v>
      </c>
      <c r="M848" s="5" t="n">
        <v>1614.0997</v>
      </c>
      <c r="N848" s="5" t="n">
        <v>8.2</v>
      </c>
      <c r="O848" s="4" t="s">
        <v>64</v>
      </c>
      <c r="P848" s="2" t="n">
        <f aca="false">IF(K848=1,J848/G848^2,0)</f>
        <v>0.512251036775608</v>
      </c>
      <c r="Q848" s="2" t="n">
        <f aca="false">IF(K848=1,((E848-Result!$B$7*D848)/G848)^2,0)</f>
        <v>0.038207457445275</v>
      </c>
    </row>
    <row r="849" customFormat="false" ht="15" hidden="false" customHeight="false" outlineLevel="0" collapsed="false">
      <c r="A849" s="4" t="s">
        <v>38</v>
      </c>
      <c r="B849" s="4" t="s">
        <v>915</v>
      </c>
      <c r="C849" s="4" t="s">
        <v>63</v>
      </c>
      <c r="D849" s="5" t="n">
        <v>1080.7402</v>
      </c>
      <c r="E849" s="5" t="n">
        <v>8.44</v>
      </c>
      <c r="F849" s="5" t="n">
        <v>0.00507980635990945</v>
      </c>
      <c r="G849" s="5" t="n">
        <v>1.3972</v>
      </c>
      <c r="H849" s="2" t="n">
        <f aca="false">D849*F849</f>
        <v>5.48995094136981</v>
      </c>
      <c r="I849" s="2" t="n">
        <f aca="false">IF(G849="","",D849*1000000/Inputs!$B$4^2*Inputs!$B$5/G849)</f>
        <v>3.93072492056799</v>
      </c>
      <c r="J849" s="2" t="n">
        <f aca="false">IF(C849="A",Inputs!$B$7,IF(C849="B",Inputs!$B$8,IF(C849="C",Inputs!$B$9,0)))</f>
        <v>1</v>
      </c>
      <c r="K849" s="2" t="n">
        <f aca="false">IF(AND(E849&lt;&gt;"",G849&lt;&gt;"",J849&gt;0),IF(I849&gt;=Inputs!$B$6,1,0),0)</f>
        <v>1</v>
      </c>
      <c r="L849" s="5" t="n">
        <v>0</v>
      </c>
      <c r="M849" s="5" t="n">
        <v>1080.762</v>
      </c>
      <c r="N849" s="5" t="n">
        <v>5.49</v>
      </c>
      <c r="O849" s="4" t="s">
        <v>64</v>
      </c>
      <c r="P849" s="2" t="n">
        <f aca="false">IF(K849=1,J849/G849^2,0)</f>
        <v>0.512251036775608</v>
      </c>
      <c r="Q849" s="2" t="n">
        <f aca="false">IF(K849=1,((E849-Result!$B$7*D849)/G849)^2,0)</f>
        <v>4.54381730249805</v>
      </c>
    </row>
    <row r="850" customFormat="false" ht="15" hidden="false" customHeight="false" outlineLevel="0" collapsed="false">
      <c r="A850" s="4" t="s">
        <v>38</v>
      </c>
      <c r="B850" s="4" t="s">
        <v>916</v>
      </c>
      <c r="C850" s="4" t="s">
        <v>63</v>
      </c>
      <c r="D850" s="5" t="n">
        <v>1732.5479</v>
      </c>
      <c r="E850" s="5" t="n">
        <v>12.4</v>
      </c>
      <c r="F850" s="5" t="n">
        <v>0.00507997306228537</v>
      </c>
      <c r="G850" s="5" t="n">
        <v>1.3972</v>
      </c>
      <c r="H850" s="2" t="n">
        <f aca="false">D850*F850</f>
        <v>8.80129666111909</v>
      </c>
      <c r="I850" s="2" t="n">
        <f aca="false">IF(G850="","",D850*1000000/Inputs!$B$4^2*Inputs!$B$5/G850)</f>
        <v>6.30139343998469</v>
      </c>
      <c r="J850" s="2" t="n">
        <f aca="false">IF(C850="A",Inputs!$B$7,IF(C850="B",Inputs!$B$8,IF(C850="C",Inputs!$B$9,0)))</f>
        <v>1</v>
      </c>
      <c r="K850" s="2" t="n">
        <f aca="false">IF(AND(E850&lt;&gt;"",G850&lt;&gt;"",J850&gt;0),IF(I850&gt;=Inputs!$B$6,1,0),0)</f>
        <v>1</v>
      </c>
      <c r="L850" s="5" t="n">
        <v>0</v>
      </c>
      <c r="M850" s="5" t="n">
        <v>1732.5792</v>
      </c>
      <c r="N850" s="5" t="n">
        <v>8.8</v>
      </c>
      <c r="O850" s="4" t="s">
        <v>64</v>
      </c>
      <c r="P850" s="2" t="n">
        <f aca="false">IF(K850=1,J850/G850^2,0)</f>
        <v>0.512251036775608</v>
      </c>
      <c r="Q850" s="2" t="n">
        <f aca="false">IF(K850=1,((E850-Result!$B$7*D850)/G850)^2,0)</f>
        <v>6.80312081035747</v>
      </c>
    </row>
    <row r="851" customFormat="false" ht="15" hidden="false" customHeight="false" outlineLevel="0" collapsed="false">
      <c r="A851" s="4" t="s">
        <v>38</v>
      </c>
      <c r="B851" s="4" t="s">
        <v>917</v>
      </c>
      <c r="C851" s="4" t="s">
        <v>63</v>
      </c>
      <c r="D851" s="5" t="n">
        <v>2074.3518</v>
      </c>
      <c r="E851" s="5" t="n">
        <v>10.44</v>
      </c>
      <c r="F851" s="5" t="n">
        <v>0.00508046258613725</v>
      </c>
      <c r="G851" s="5" t="n">
        <v>1.3972</v>
      </c>
      <c r="H851" s="2" t="n">
        <f aca="false">D851*F851</f>
        <v>10.5386667103865</v>
      </c>
      <c r="I851" s="2" t="n">
        <f aca="false">IF(G851="","",D851*1000000/Inputs!$B$4^2*Inputs!$B$5/G851)</f>
        <v>7.54455725278386</v>
      </c>
      <c r="J851" s="2" t="n">
        <f aca="false">IF(C851="A",Inputs!$B$7,IF(C851="B",Inputs!$B$8,IF(C851="C",Inputs!$B$9,0)))</f>
        <v>1</v>
      </c>
      <c r="K851" s="2" t="n">
        <f aca="false">IF(AND(E851&lt;&gt;"",G851&lt;&gt;"",J851&gt;0),IF(I851&gt;=Inputs!$B$6,1,0),0)</f>
        <v>1</v>
      </c>
      <c r="L851" s="5" t="n">
        <v>0</v>
      </c>
      <c r="M851" s="5" t="n">
        <v>2074.3972</v>
      </c>
      <c r="N851" s="5" t="n">
        <v>10.54</v>
      </c>
      <c r="O851" s="4" t="s">
        <v>64</v>
      </c>
      <c r="P851" s="2" t="n">
        <f aca="false">IF(K851=1,J851/G851^2,0)</f>
        <v>0.512251036775608</v>
      </c>
      <c r="Q851" s="2" t="n">
        <f aca="false">IF(K851=1,((E851-Result!$B$7*D851)/G851)^2,0)</f>
        <v>0.00095040202281493</v>
      </c>
    </row>
    <row r="852" customFormat="false" ht="15" hidden="false" customHeight="false" outlineLevel="0" collapsed="false">
      <c r="A852" s="4" t="s">
        <v>38</v>
      </c>
      <c r="B852" s="4" t="s">
        <v>918</v>
      </c>
      <c r="C852" s="4" t="s">
        <v>63</v>
      </c>
      <c r="D852" s="5" t="n">
        <v>1363.8269</v>
      </c>
      <c r="E852" s="5" t="n">
        <v>7.5</v>
      </c>
      <c r="F852" s="5" t="n">
        <v>0.00508057970734723</v>
      </c>
      <c r="G852" s="5" t="n">
        <v>1.3972</v>
      </c>
      <c r="H852" s="2" t="n">
        <f aca="false">D852*F852</f>
        <v>6.92903127247428</v>
      </c>
      <c r="I852" s="2" t="n">
        <f aca="false">IF(G852="","",D852*1000000/Inputs!$B$4^2*Inputs!$B$5/G852)</f>
        <v>4.96033032098833</v>
      </c>
      <c r="J852" s="2" t="n">
        <f aca="false">IF(C852="A",Inputs!$B$7,IF(C852="B",Inputs!$B$8,IF(C852="C",Inputs!$B$9,0)))</f>
        <v>1</v>
      </c>
      <c r="K852" s="2" t="n">
        <f aca="false">IF(AND(E852&lt;&gt;"",G852&lt;&gt;"",J852&gt;0),IF(I852&gt;=Inputs!$B$6,1,0),0)</f>
        <v>1</v>
      </c>
      <c r="L852" s="5" t="n">
        <v>1</v>
      </c>
      <c r="M852" s="5" t="n">
        <v>1363.858</v>
      </c>
      <c r="N852" s="5" t="n">
        <v>6.93</v>
      </c>
      <c r="O852" s="4" t="s">
        <v>64</v>
      </c>
      <c r="P852" s="2" t="n">
        <f aca="false">IF(K852=1,J852/G852^2,0)</f>
        <v>0.512251036775608</v>
      </c>
      <c r="Q852" s="2" t="n">
        <f aca="false">IF(K852=1,((E852-Result!$B$7*D852)/G852)^2,0)</f>
        <v>0.189161036823692</v>
      </c>
    </row>
    <row r="853" customFormat="false" ht="15" hidden="false" customHeight="false" outlineLevel="0" collapsed="false">
      <c r="A853" s="4" t="s">
        <v>38</v>
      </c>
      <c r="B853" s="4" t="s">
        <v>919</v>
      </c>
      <c r="C853" s="4" t="s">
        <v>63</v>
      </c>
      <c r="D853" s="5" t="n">
        <v>2956.9929</v>
      </c>
      <c r="E853" s="5" t="n">
        <v>13.26</v>
      </c>
      <c r="F853" s="5" t="n">
        <v>0.00508071274524824</v>
      </c>
      <c r="G853" s="5" t="n">
        <v>1.3972</v>
      </c>
      <c r="H853" s="2" t="n">
        <f aca="false">D853*F853</f>
        <v>15.0236315146386</v>
      </c>
      <c r="I853" s="2" t="n">
        <f aca="false">IF(G853="","",D853*1000000/Inputs!$B$4^2*Inputs!$B$5/G853)</f>
        <v>10.7547824000371</v>
      </c>
      <c r="J853" s="2" t="n">
        <f aca="false">IF(C853="A",Inputs!$B$7,IF(C853="B",Inputs!$B$8,IF(C853="C",Inputs!$B$9,0)))</f>
        <v>1</v>
      </c>
      <c r="K853" s="2" t="n">
        <f aca="false">IF(AND(E853&lt;&gt;"",G853&lt;&gt;"",J853&gt;0),IF(I853&gt;=Inputs!$B$6,1,0),0)</f>
        <v>1</v>
      </c>
      <c r="L853" s="5" t="n">
        <v>1</v>
      </c>
      <c r="M853" s="5" t="n">
        <v>2957.0812</v>
      </c>
      <c r="N853" s="5" t="n">
        <v>15.03</v>
      </c>
      <c r="O853" s="4" t="s">
        <v>64</v>
      </c>
      <c r="P853" s="2" t="n">
        <f aca="false">IF(K853=1,J853/G853^2,0)</f>
        <v>0.512251036775608</v>
      </c>
      <c r="Q853" s="2" t="n">
        <f aca="false">IF(K853=1,((E853-Result!$B$7*D853)/G853)^2,0)</f>
        <v>1.45205579254637</v>
      </c>
    </row>
    <row r="854" customFormat="false" ht="15" hidden="false" customHeight="false" outlineLevel="0" collapsed="false">
      <c r="A854" s="4" t="s">
        <v>38</v>
      </c>
      <c r="B854" s="4" t="s">
        <v>920</v>
      </c>
      <c r="C854" s="4" t="s">
        <v>63</v>
      </c>
      <c r="D854" s="5" t="n">
        <v>2246.4998</v>
      </c>
      <c r="E854" s="5" t="n">
        <v>10.32</v>
      </c>
      <c r="F854" s="5" t="n">
        <v>0.00508086309606281</v>
      </c>
      <c r="G854" s="5" t="n">
        <v>1.3972</v>
      </c>
      <c r="H854" s="2" t="n">
        <f aca="false">D854*F854</f>
        <v>11.4141579291325</v>
      </c>
      <c r="I854" s="2" t="n">
        <f aca="false">IF(G854="","",D854*1000000/Inputs!$B$4^2*Inputs!$B$5/G854)</f>
        <v>8.17067112698409</v>
      </c>
      <c r="J854" s="2" t="n">
        <f aca="false">IF(C854="A",Inputs!$B$7,IF(C854="B",Inputs!$B$8,IF(C854="C",Inputs!$B$9,0)))</f>
        <v>1</v>
      </c>
      <c r="K854" s="2" t="n">
        <f aca="false">IF(AND(E854&lt;&gt;"",G854&lt;&gt;"",J854&gt;0),IF(I854&gt;=Inputs!$B$6,1,0),0)</f>
        <v>1</v>
      </c>
      <c r="L854" s="5" t="n">
        <v>0</v>
      </c>
      <c r="M854" s="5" t="n">
        <v>2246.542</v>
      </c>
      <c r="N854" s="5" t="n">
        <v>11.42</v>
      </c>
      <c r="O854" s="4" t="s">
        <v>64</v>
      </c>
      <c r="P854" s="2" t="n">
        <f aca="false">IF(K854=1,J854/G854^2,0)</f>
        <v>0.512251036775608</v>
      </c>
      <c r="Q854" s="2" t="n">
        <f aca="false">IF(K854=1,((E854-Result!$B$7*D854)/G854)^2,0)</f>
        <v>0.546672038902912</v>
      </c>
    </row>
    <row r="855" customFormat="false" ht="15" hidden="false" customHeight="false" outlineLevel="0" collapsed="false">
      <c r="A855" s="4" t="s">
        <v>38</v>
      </c>
      <c r="B855" s="4" t="s">
        <v>921</v>
      </c>
      <c r="C855" s="4" t="s">
        <v>63</v>
      </c>
      <c r="D855" s="5" t="n">
        <v>3512.8135</v>
      </c>
      <c r="E855" s="5" t="n">
        <v>16.92</v>
      </c>
      <c r="F855" s="5" t="n">
        <v>0.00508036331407172</v>
      </c>
      <c r="G855" s="5" t="n">
        <v>1.3972</v>
      </c>
      <c r="H855" s="2" t="n">
        <f aca="false">D855*F855</f>
        <v>17.8463688345759</v>
      </c>
      <c r="I855" s="2" t="n">
        <f aca="false">IF(G855="","",D855*1000000/Inputs!$B$4^2*Inputs!$B$5/G855)</f>
        <v>12.7763393697742</v>
      </c>
      <c r="J855" s="2" t="n">
        <f aca="false">IF(C855="A",Inputs!$B$7,IF(C855="B",Inputs!$B$8,IF(C855="C",Inputs!$B$9,0)))</f>
        <v>1</v>
      </c>
      <c r="K855" s="2" t="n">
        <f aca="false">IF(AND(E855&lt;&gt;"",G855&lt;&gt;"",J855&gt;0),IF(I855&gt;=Inputs!$B$6,1,0),0)</f>
        <v>1</v>
      </c>
      <c r="L855" s="5" t="n">
        <v>1</v>
      </c>
      <c r="M855" s="5" t="n">
        <v>3512.9086</v>
      </c>
      <c r="N855" s="5" t="n">
        <v>17.84</v>
      </c>
      <c r="O855" s="4" t="s">
        <v>64</v>
      </c>
      <c r="P855" s="2" t="n">
        <f aca="false">IF(K855=1,J855/G855^2,0)</f>
        <v>0.512251036775608</v>
      </c>
      <c r="Q855" s="2" t="n">
        <f aca="false">IF(K855=1,((E855-Result!$B$7*D855)/G855)^2,0)</f>
        <v>0.355081492405877</v>
      </c>
    </row>
    <row r="856" customFormat="false" ht="15" hidden="false" customHeight="false" outlineLevel="0" collapsed="false">
      <c r="A856" s="4" t="s">
        <v>38</v>
      </c>
      <c r="B856" s="4" t="s">
        <v>922</v>
      </c>
      <c r="C856" s="4" t="s">
        <v>63</v>
      </c>
      <c r="D856" s="5" t="n">
        <v>2936.6203</v>
      </c>
      <c r="E856" s="5" t="n">
        <v>13.56</v>
      </c>
      <c r="F856" s="5" t="n">
        <v>0.00508062966068288</v>
      </c>
      <c r="G856" s="5" t="n">
        <v>1.3972</v>
      </c>
      <c r="H856" s="2" t="n">
        <f aca="false">D856*F856</f>
        <v>14.9198801983434</v>
      </c>
      <c r="I856" s="2" t="n">
        <f aca="false">IF(G856="","",D856*1000000/Inputs!$B$4^2*Inputs!$B$5/G856)</f>
        <v>10.6806858812653</v>
      </c>
      <c r="J856" s="2" t="n">
        <f aca="false">IF(C856="A",Inputs!$B$7,IF(C856="B",Inputs!$B$8,IF(C856="C",Inputs!$B$9,0)))</f>
        <v>1</v>
      </c>
      <c r="K856" s="2" t="n">
        <f aca="false">IF(AND(E856&lt;&gt;"",G856&lt;&gt;"",J856&gt;0),IF(I856&gt;=Inputs!$B$6,1,0),0)</f>
        <v>1</v>
      </c>
      <c r="L856" s="5" t="n">
        <v>1</v>
      </c>
      <c r="M856" s="5" t="n">
        <v>2936.6859</v>
      </c>
      <c r="N856" s="5" t="n">
        <v>14.92</v>
      </c>
      <c r="O856" s="4" t="s">
        <v>64</v>
      </c>
      <c r="P856" s="2" t="n">
        <f aca="false">IF(K856=1,J856/G856^2,0)</f>
        <v>0.512251036775608</v>
      </c>
      <c r="Q856" s="2" t="n">
        <f aca="false">IF(K856=1,((E856-Result!$B$7*D856)/G856)^2,0)</f>
        <v>0.84017404586738</v>
      </c>
    </row>
    <row r="857" customFormat="false" ht="15" hidden="false" customHeight="false" outlineLevel="0" collapsed="false">
      <c r="A857" s="4" t="s">
        <v>38</v>
      </c>
      <c r="B857" s="4" t="s">
        <v>923</v>
      </c>
      <c r="C857" s="4" t="s">
        <v>63</v>
      </c>
      <c r="D857" s="5" t="n">
        <v>2500.8459</v>
      </c>
      <c r="E857" s="5" t="n">
        <v>9.07</v>
      </c>
      <c r="F857" s="5" t="n">
        <v>0.00508104306363453</v>
      </c>
      <c r="G857" s="5" t="n">
        <v>1.3972</v>
      </c>
      <c r="H857" s="2" t="n">
        <f aca="false">D857*F857</f>
        <v>12.7069057134138</v>
      </c>
      <c r="I857" s="2" t="n">
        <f aca="false">IF(G857="","",D857*1000000/Inputs!$B$4^2*Inputs!$B$5/G857)</f>
        <v>9.09574502885179</v>
      </c>
      <c r="J857" s="2" t="n">
        <f aca="false">IF(C857="A",Inputs!$B$7,IF(C857="B",Inputs!$B$8,IF(C857="C",Inputs!$B$9,0)))</f>
        <v>1</v>
      </c>
      <c r="K857" s="2" t="n">
        <f aca="false">IF(AND(E857&lt;&gt;"",G857&lt;&gt;"",J857&gt;0),IF(I857&gt;=Inputs!$B$6,1,0),0)</f>
        <v>1</v>
      </c>
      <c r="L857" s="5" t="n">
        <v>1</v>
      </c>
      <c r="M857" s="5" t="n">
        <v>2500.8981</v>
      </c>
      <c r="N857" s="5" t="n">
        <v>12.71</v>
      </c>
      <c r="O857" s="4" t="s">
        <v>64</v>
      </c>
      <c r="P857" s="2" t="n">
        <f aca="false">IF(K857=1,J857/G857^2,0)</f>
        <v>0.512251036775608</v>
      </c>
      <c r="Q857" s="2" t="n">
        <f aca="false">IF(K857=1,((E857-Result!$B$7*D857)/G857)^2,0)</f>
        <v>6.52285058419099</v>
      </c>
    </row>
    <row r="858" customFormat="false" ht="15" hidden="false" customHeight="false" outlineLevel="0" collapsed="false">
      <c r="A858" s="4" t="s">
        <v>38</v>
      </c>
      <c r="B858" s="4" t="s">
        <v>924</v>
      </c>
      <c r="C858" s="4" t="s">
        <v>63</v>
      </c>
      <c r="D858" s="5" t="n">
        <v>2385.946</v>
      </c>
      <c r="E858" s="5" t="n">
        <v>8.82</v>
      </c>
      <c r="F858" s="5" t="n">
        <v>0.00508131152412365</v>
      </c>
      <c r="G858" s="5" t="n">
        <v>1.3972</v>
      </c>
      <c r="H858" s="2" t="n">
        <f aca="false">D858*F858</f>
        <v>12.1237349057367</v>
      </c>
      <c r="I858" s="2" t="n">
        <f aca="false">IF(G858="","",D858*1000000/Inputs!$B$4^2*Inputs!$B$5/G858)</f>
        <v>8.67784635135208</v>
      </c>
      <c r="J858" s="2" t="n">
        <f aca="false">IF(C858="A",Inputs!$B$7,IF(C858="B",Inputs!$B$8,IF(C858="C",Inputs!$B$9,0)))</f>
        <v>1</v>
      </c>
      <c r="K858" s="2" t="n">
        <f aca="false">IF(AND(E858&lt;&gt;"",G858&lt;&gt;"",J858&gt;0),IF(I858&gt;=Inputs!$B$6,1,0),0)</f>
        <v>1</v>
      </c>
      <c r="L858" s="5" t="n">
        <v>1</v>
      </c>
      <c r="M858" s="5" t="n">
        <v>2385.9995</v>
      </c>
      <c r="N858" s="5" t="n">
        <v>12.13</v>
      </c>
      <c r="O858" s="4" t="s">
        <v>64</v>
      </c>
      <c r="P858" s="2" t="n">
        <f aca="false">IF(K858=1,J858/G858^2,0)</f>
        <v>0.512251036775608</v>
      </c>
      <c r="Q858" s="2" t="n">
        <f aca="false">IF(K858=1,((E858-Result!$B$7*D858)/G858)^2,0)</f>
        <v>5.36999220883657</v>
      </c>
    </row>
    <row r="859" customFormat="false" ht="15" hidden="false" customHeight="false" outlineLevel="0" collapsed="false">
      <c r="A859" s="4" t="s">
        <v>38</v>
      </c>
      <c r="B859" s="4" t="s">
        <v>925</v>
      </c>
      <c r="C859" s="4" t="s">
        <v>63</v>
      </c>
      <c r="D859" s="5" t="n">
        <v>2007.7746</v>
      </c>
      <c r="E859" s="5" t="n">
        <v>12.05</v>
      </c>
      <c r="F859" s="5" t="n">
        <v>0.00508117705784634</v>
      </c>
      <c r="G859" s="5" t="n">
        <v>1.3972</v>
      </c>
      <c r="H859" s="2" t="n">
        <f aca="false">D859*F859</f>
        <v>10.2018582348466</v>
      </c>
      <c r="I859" s="2" t="n">
        <f aca="false">IF(G859="","",D859*1000000/Inputs!$B$4^2*Inputs!$B$5/G859)</f>
        <v>7.30241149084992</v>
      </c>
      <c r="J859" s="2" t="n">
        <f aca="false">IF(C859="A",Inputs!$B$7,IF(C859="B",Inputs!$B$8,IF(C859="C",Inputs!$B$9,0)))</f>
        <v>1</v>
      </c>
      <c r="K859" s="2" t="n">
        <f aca="false">IF(AND(E859&lt;&gt;"",G859&lt;&gt;"",J859&gt;0),IF(I859&gt;=Inputs!$B$6,1,0),0)</f>
        <v>1</v>
      </c>
      <c r="L859" s="5" t="n">
        <v>0</v>
      </c>
      <c r="M859" s="5" t="n">
        <v>2007.8149</v>
      </c>
      <c r="N859" s="5" t="n">
        <v>10.2</v>
      </c>
      <c r="O859" s="4" t="s">
        <v>64</v>
      </c>
      <c r="P859" s="2" t="n">
        <f aca="false">IF(K859=1,J859/G859^2,0)</f>
        <v>0.512251036775608</v>
      </c>
      <c r="Q859" s="2" t="n">
        <f aca="false">IF(K859=1,((E859-Result!$B$7*D859)/G859)^2,0)</f>
        <v>1.85582116878574</v>
      </c>
    </row>
    <row r="860" customFormat="false" ht="15" hidden="false" customHeight="false" outlineLevel="0" collapsed="false">
      <c r="A860" s="4" t="s">
        <v>38</v>
      </c>
      <c r="B860" s="4" t="s">
        <v>926</v>
      </c>
      <c r="C860" s="4" t="s">
        <v>63</v>
      </c>
      <c r="D860" s="5" t="n">
        <v>1746.3758</v>
      </c>
      <c r="E860" s="5" t="n">
        <v>9.39</v>
      </c>
      <c r="F860" s="5" t="n">
        <v>0.00508137616885667</v>
      </c>
      <c r="G860" s="5" t="n">
        <v>1.3972</v>
      </c>
      <c r="H860" s="2" t="n">
        <f aca="false">D860*F860</f>
        <v>8.87399237198801</v>
      </c>
      <c r="I860" s="2" t="n">
        <f aca="false">IF(G860="","",D860*1000000/Inputs!$B$4^2*Inputs!$B$5/G860)</f>
        <v>6.35168644391767</v>
      </c>
      <c r="J860" s="2" t="n">
        <f aca="false">IF(C860="A",Inputs!$B$7,IF(C860="B",Inputs!$B$8,IF(C860="C",Inputs!$B$9,0)))</f>
        <v>1</v>
      </c>
      <c r="K860" s="2" t="n">
        <f aca="false">IF(AND(E860&lt;&gt;"",G860&lt;&gt;"",J860&gt;0),IF(I860&gt;=Inputs!$B$6,1,0),0)</f>
        <v>1</v>
      </c>
      <c r="L860" s="5" t="n">
        <v>1</v>
      </c>
      <c r="M860" s="5" t="n">
        <v>1746.4104</v>
      </c>
      <c r="N860" s="5" t="n">
        <v>8.87</v>
      </c>
      <c r="O860" s="4" t="s">
        <v>64</v>
      </c>
      <c r="P860" s="2" t="n">
        <f aca="false">IF(K860=1,J860/G860^2,0)</f>
        <v>0.512251036775608</v>
      </c>
      <c r="Q860" s="2" t="n">
        <f aca="false">IF(K860=1,((E860-Result!$B$7*D860)/G860)^2,0)</f>
        <v>0.163179843106457</v>
      </c>
    </row>
    <row r="861" customFormat="false" ht="15" hidden="false" customHeight="false" outlineLevel="0" collapsed="false">
      <c r="A861" s="4" t="s">
        <v>38</v>
      </c>
      <c r="B861" s="4" t="s">
        <v>927</v>
      </c>
      <c r="C861" s="4" t="s">
        <v>63</v>
      </c>
      <c r="D861" s="5" t="n">
        <v>2124.5491</v>
      </c>
      <c r="E861" s="5" t="n">
        <v>6.16</v>
      </c>
      <c r="F861" s="5" t="n">
        <v>0.00508149222783371</v>
      </c>
      <c r="G861" s="5" t="n">
        <v>1.3972</v>
      </c>
      <c r="H861" s="2" t="n">
        <f aca="false">D861*F861</f>
        <v>10.7958797393011</v>
      </c>
      <c r="I861" s="2" t="n">
        <f aca="false">IF(G861="","",D861*1000000/Inputs!$B$4^2*Inputs!$B$5/G861)</f>
        <v>7.72712821484785</v>
      </c>
      <c r="J861" s="2" t="n">
        <f aca="false">IF(C861="A",Inputs!$B$7,IF(C861="B",Inputs!$B$8,IF(C861="C",Inputs!$B$9,0)))</f>
        <v>1</v>
      </c>
      <c r="K861" s="2" t="n">
        <f aca="false">IF(AND(E861&lt;&gt;"",G861&lt;&gt;"",J861&gt;0),IF(I861&gt;=Inputs!$B$6,1,0),0)</f>
        <v>1</v>
      </c>
      <c r="L861" s="5" t="n">
        <v>0</v>
      </c>
      <c r="M861" s="5" t="n">
        <v>2124.595</v>
      </c>
      <c r="N861" s="5" t="n">
        <v>10.8</v>
      </c>
      <c r="O861" s="4" t="s">
        <v>64</v>
      </c>
      <c r="P861" s="2" t="n">
        <f aca="false">IF(K861=1,J861/G861^2,0)</f>
        <v>0.512251036775608</v>
      </c>
      <c r="Q861" s="2" t="n">
        <f aca="false">IF(K861=1,((E861-Result!$B$7*D861)/G861)^2,0)</f>
        <v>10.7299567030802</v>
      </c>
    </row>
    <row r="862" customFormat="false" ht="15" hidden="false" customHeight="false" outlineLevel="0" collapsed="false">
      <c r="A862" s="4" t="s">
        <v>38</v>
      </c>
      <c r="B862" s="4" t="s">
        <v>928</v>
      </c>
      <c r="C862" s="4" t="s">
        <v>63</v>
      </c>
      <c r="D862" s="5" t="n">
        <v>1561.5999</v>
      </c>
      <c r="E862" s="5" t="n">
        <v>6.07</v>
      </c>
      <c r="F862" s="5" t="n">
        <v>0.00508178375185182</v>
      </c>
      <c r="G862" s="5" t="n">
        <v>1.3972</v>
      </c>
      <c r="H862" s="2" t="n">
        <f aca="false">D862*F862</f>
        <v>7.93571299871342</v>
      </c>
      <c r="I862" s="2" t="n">
        <f aca="false">IF(G862="","",D862*1000000/Inputs!$B$4^2*Inputs!$B$5/G862)</f>
        <v>5.67964404663257</v>
      </c>
      <c r="J862" s="2" t="n">
        <f aca="false">IF(C862="A",Inputs!$B$7,IF(C862="B",Inputs!$B$8,IF(C862="C",Inputs!$B$9,0)))</f>
        <v>1</v>
      </c>
      <c r="K862" s="2" t="n">
        <f aca="false">IF(AND(E862&lt;&gt;"",G862&lt;&gt;"",J862&gt;0),IF(I862&gt;=Inputs!$B$6,1,0),0)</f>
        <v>1</v>
      </c>
      <c r="L862" s="5" t="n">
        <v>0</v>
      </c>
      <c r="M862" s="5" t="n">
        <v>1561.6244</v>
      </c>
      <c r="N862" s="5" t="n">
        <v>7.94</v>
      </c>
      <c r="O862" s="4" t="s">
        <v>64</v>
      </c>
      <c r="P862" s="2" t="n">
        <f aca="false">IF(K862=1,J862/G862^2,0)</f>
        <v>0.512251036775608</v>
      </c>
      <c r="Q862" s="2" t="n">
        <f aca="false">IF(K862=1,((E862-Result!$B$7*D862)/G862)^2,0)</f>
        <v>1.70013584937298</v>
      </c>
    </row>
    <row r="863" customFormat="false" ht="15" hidden="false" customHeight="false" outlineLevel="0" collapsed="false">
      <c r="A863" s="4" t="s">
        <v>38</v>
      </c>
      <c r="B863" s="4" t="s">
        <v>929</v>
      </c>
      <c r="C863" s="4" t="s">
        <v>63</v>
      </c>
      <c r="D863" s="5" t="n">
        <v>1828.5366</v>
      </c>
      <c r="E863" s="5" t="n">
        <v>10.54</v>
      </c>
      <c r="F863" s="5" t="n">
        <v>0.00508170478379064</v>
      </c>
      <c r="G863" s="5" t="n">
        <v>1.3972</v>
      </c>
      <c r="H863" s="2" t="n">
        <f aca="false">D863*F863</f>
        <v>9.29208318755626</v>
      </c>
      <c r="I863" s="2" t="n">
        <f aca="false">IF(G863="","",D863*1000000/Inputs!$B$4^2*Inputs!$B$5/G863)</f>
        <v>6.6505108089721</v>
      </c>
      <c r="J863" s="2" t="n">
        <f aca="false">IF(C863="A",Inputs!$B$7,IF(C863="B",Inputs!$B$8,IF(C863="C",Inputs!$B$9,0)))</f>
        <v>1</v>
      </c>
      <c r="K863" s="2" t="n">
        <f aca="false">IF(AND(E863&lt;&gt;"",G863&lt;&gt;"",J863&gt;0),IF(I863&gt;=Inputs!$B$6,1,0),0)</f>
        <v>1</v>
      </c>
      <c r="L863" s="5" t="n">
        <v>0</v>
      </c>
      <c r="M863" s="5" t="n">
        <v>1828.5728</v>
      </c>
      <c r="N863" s="5" t="n">
        <v>9.29</v>
      </c>
      <c r="O863" s="4" t="s">
        <v>64</v>
      </c>
      <c r="P863" s="2" t="n">
        <f aca="false">IF(K863=1,J863/G863^2,0)</f>
        <v>0.512251036775608</v>
      </c>
      <c r="Q863" s="2" t="n">
        <f aca="false">IF(K863=1,((E863-Result!$B$7*D863)/G863)^2,0)</f>
        <v>0.864630216657207</v>
      </c>
    </row>
    <row r="864" customFormat="false" ht="15" hidden="false" customHeight="false" outlineLevel="0" collapsed="false">
      <c r="A864" s="4" t="s">
        <v>38</v>
      </c>
      <c r="B864" s="4" t="s">
        <v>930</v>
      </c>
      <c r="C864" s="4" t="s">
        <v>63</v>
      </c>
      <c r="D864" s="5" t="n">
        <v>2450.0533</v>
      </c>
      <c r="E864" s="5" t="n">
        <v>11.58</v>
      </c>
      <c r="F864" s="5" t="n">
        <v>0.00508179030133888</v>
      </c>
      <c r="G864" s="5" t="n">
        <v>1.3972</v>
      </c>
      <c r="H864" s="2" t="n">
        <f aca="false">D864*F864</f>
        <v>12.4506570977033</v>
      </c>
      <c r="I864" s="2" t="n">
        <f aca="false">IF(G864="","",D864*1000000/Inputs!$B$4^2*Inputs!$B$5/G864)</f>
        <v>8.91100892058041</v>
      </c>
      <c r="J864" s="2" t="n">
        <f aca="false">IF(C864="A",Inputs!$B$7,IF(C864="B",Inputs!$B$8,IF(C864="C",Inputs!$B$9,0)))</f>
        <v>1</v>
      </c>
      <c r="K864" s="2" t="n">
        <f aca="false">IF(AND(E864&lt;&gt;"",G864&lt;&gt;"",J864&gt;0),IF(I864&gt;=Inputs!$B$6,1,0),0)</f>
        <v>1</v>
      </c>
      <c r="L864" s="5" t="n">
        <v>1</v>
      </c>
      <c r="M864" s="5" t="n">
        <v>2450.119</v>
      </c>
      <c r="N864" s="5" t="n">
        <v>12.45</v>
      </c>
      <c r="O864" s="4" t="s">
        <v>64</v>
      </c>
      <c r="P864" s="2" t="n">
        <f aca="false">IF(K864=1,J864/G864^2,0)</f>
        <v>0.512251036775608</v>
      </c>
      <c r="Q864" s="2" t="n">
        <f aca="false">IF(K864=1,((E864-Result!$B$7*D864)/G864)^2,0)</f>
        <v>0.32927017235671</v>
      </c>
    </row>
    <row r="865" customFormat="false" ht="15" hidden="false" customHeight="false" outlineLevel="0" collapsed="false">
      <c r="A865" s="4" t="s">
        <v>38</v>
      </c>
      <c r="B865" s="4" t="s">
        <v>931</v>
      </c>
      <c r="C865" s="4" t="s">
        <v>63</v>
      </c>
      <c r="D865" s="5" t="n">
        <v>1115.1079</v>
      </c>
      <c r="E865" s="5" t="n">
        <v>6.06</v>
      </c>
      <c r="F865" s="5" t="n">
        <v>0.00508193142078944</v>
      </c>
      <c r="G865" s="5" t="n">
        <v>1.3972</v>
      </c>
      <c r="H865" s="2" t="n">
        <f aca="false">D865*F865</f>
        <v>5.66690187458053</v>
      </c>
      <c r="I865" s="2" t="n">
        <f aca="false">IF(G865="","",D865*1000000/Inputs!$B$4^2*Inputs!$B$5/G865)</f>
        <v>4.05572256093763</v>
      </c>
      <c r="J865" s="2" t="n">
        <f aca="false">IF(C865="A",Inputs!$B$7,IF(C865="B",Inputs!$B$8,IF(C865="C",Inputs!$B$9,0)))</f>
        <v>1</v>
      </c>
      <c r="K865" s="2" t="n">
        <f aca="false">IF(AND(E865&lt;&gt;"",G865&lt;&gt;"",J865&gt;0),IF(I865&gt;=Inputs!$B$6,1,0),0)</f>
        <v>1</v>
      </c>
      <c r="L865" s="5" t="n">
        <v>0</v>
      </c>
      <c r="M865" s="5" t="n">
        <v>1115.1269</v>
      </c>
      <c r="N865" s="5" t="n">
        <v>5.67</v>
      </c>
      <c r="O865" s="4" t="s">
        <v>64</v>
      </c>
      <c r="P865" s="2" t="n">
        <f aca="false">IF(K865=1,J865/G865^2,0)</f>
        <v>0.512251036775608</v>
      </c>
      <c r="Q865" s="2" t="n">
        <f aca="false">IF(K865=1,((E865-Result!$B$7*D865)/G865)^2,0)</f>
        <v>0.0923604510001116</v>
      </c>
    </row>
    <row r="866" customFormat="false" ht="15" hidden="false" customHeight="false" outlineLevel="0" collapsed="false">
      <c r="A866" s="4" t="s">
        <v>38</v>
      </c>
      <c r="B866" s="4" t="s">
        <v>932</v>
      </c>
      <c r="C866" s="4" t="s">
        <v>63</v>
      </c>
      <c r="D866" s="5" t="n">
        <v>1382.0542</v>
      </c>
      <c r="E866" s="5" t="n">
        <v>10.53</v>
      </c>
      <c r="F866" s="5" t="n">
        <v>0.00508179784030732</v>
      </c>
      <c r="G866" s="5" t="n">
        <v>1.3972</v>
      </c>
      <c r="H866" s="2" t="n">
        <f aca="false">D866*F866</f>
        <v>7.02332004874767</v>
      </c>
      <c r="I866" s="2" t="n">
        <f aca="false">IF(G866="","",D866*1000000/Inputs!$B$4^2*Inputs!$B$5/G866)</f>
        <v>5.02662423912395</v>
      </c>
      <c r="J866" s="2" t="n">
        <f aca="false">IF(C866="A",Inputs!$B$7,IF(C866="B",Inputs!$B$8,IF(C866="C",Inputs!$B$9,0)))</f>
        <v>1</v>
      </c>
      <c r="K866" s="2" t="n">
        <f aca="false">IF(AND(E866&lt;&gt;"",G866&lt;&gt;"",J866&gt;0),IF(I866&gt;=Inputs!$B$6,1,0),0)</f>
        <v>1</v>
      </c>
      <c r="L866" s="5" t="n">
        <v>0</v>
      </c>
      <c r="M866" s="5" t="n">
        <v>1382.0753</v>
      </c>
      <c r="N866" s="5" t="n">
        <v>7.02</v>
      </c>
      <c r="O866" s="4" t="s">
        <v>64</v>
      </c>
      <c r="P866" s="2" t="n">
        <f aca="false">IF(K866=1,J866/G866^2,0)</f>
        <v>0.512251036775608</v>
      </c>
      <c r="Q866" s="2" t="n">
        <f aca="false">IF(K866=1,((E866-Result!$B$7*D866)/G866)^2,0)</f>
        <v>6.43952246811927</v>
      </c>
    </row>
    <row r="867" customFormat="false" ht="15" hidden="false" customHeight="false" outlineLevel="0" collapsed="false">
      <c r="A867" s="4" t="s">
        <v>38</v>
      </c>
      <c r="B867" s="4" t="s">
        <v>933</v>
      </c>
      <c r="C867" s="4" t="s">
        <v>63</v>
      </c>
      <c r="D867" s="5" t="n">
        <v>551.6613</v>
      </c>
      <c r="E867" s="5" t="n">
        <v>4.56</v>
      </c>
      <c r="F867" s="5" t="n">
        <v>0.00508201672507528</v>
      </c>
      <c r="G867" s="5" t="n">
        <v>1.3972</v>
      </c>
      <c r="H867" s="2" t="n">
        <f aca="false">D867*F867</f>
        <v>2.80355195317677</v>
      </c>
      <c r="I867" s="2" t="n">
        <f aca="false">IF(G867="","",D867*1000000/Inputs!$B$4^2*Inputs!$B$5/G867)</f>
        <v>2.00642931541081</v>
      </c>
      <c r="J867" s="2" t="n">
        <f aca="false">IF(C867="A",Inputs!$B$7,IF(C867="B",Inputs!$B$8,IF(C867="C",Inputs!$B$9,0)))</f>
        <v>1</v>
      </c>
      <c r="K867" s="2" t="n">
        <f aca="false">IF(AND(E867&lt;&gt;"",G867&lt;&gt;"",J867&gt;0),IF(I867&gt;=Inputs!$B$6,1,0),0)</f>
        <v>1</v>
      </c>
      <c r="L867" s="5" t="n">
        <v>1</v>
      </c>
      <c r="M867" s="5" t="n">
        <v>551.6756</v>
      </c>
      <c r="N867" s="5" t="n">
        <v>2.8</v>
      </c>
      <c r="O867" s="4" t="s">
        <v>64</v>
      </c>
      <c r="P867" s="2" t="n">
        <f aca="false">IF(K867=1,J867/G867^2,0)</f>
        <v>0.512251036775608</v>
      </c>
      <c r="Q867" s="2" t="n">
        <f aca="false">IF(K867=1,((E867-Result!$B$7*D867)/G867)^2,0)</f>
        <v>1.60862350139338</v>
      </c>
    </row>
    <row r="868" customFormat="false" ht="15" hidden="false" customHeight="false" outlineLevel="0" collapsed="false">
      <c r="A868" s="4" t="s">
        <v>38</v>
      </c>
      <c r="B868" s="4" t="s">
        <v>934</v>
      </c>
      <c r="C868" s="4" t="s">
        <v>63</v>
      </c>
      <c r="D868" s="5" t="n">
        <v>482.0218</v>
      </c>
      <c r="E868" s="5" t="n">
        <v>2.45</v>
      </c>
      <c r="F868" s="5" t="n">
        <v>0.00508180438878494</v>
      </c>
      <c r="G868" s="5" t="n">
        <v>1.3972</v>
      </c>
      <c r="H868" s="2" t="n">
        <f aca="false">D868*F868</f>
        <v>2.44954049873002</v>
      </c>
      <c r="I868" s="2" t="n">
        <f aca="false">IF(G868="","",D868*1000000/Inputs!$B$4^2*Inputs!$B$5/G868)</f>
        <v>1.75314576205923</v>
      </c>
      <c r="J868" s="2" t="n">
        <f aca="false">IF(C868="A",Inputs!$B$7,IF(C868="B",Inputs!$B$8,IF(C868="C",Inputs!$B$9,0)))</f>
        <v>1</v>
      </c>
      <c r="K868" s="2" t="n">
        <f aca="false">IF(AND(E868&lt;&gt;"",G868&lt;&gt;"",J868&gt;0),IF(I868&gt;=Inputs!$B$6,1,0),0)</f>
        <v>0</v>
      </c>
      <c r="L868" s="5" t="n">
        <v>1</v>
      </c>
      <c r="M868" s="5" t="n">
        <v>482.0323</v>
      </c>
      <c r="N868" s="5" t="n">
        <v>2.45</v>
      </c>
      <c r="O868" s="4" t="s">
        <v>64</v>
      </c>
      <c r="P868" s="2" t="n">
        <f aca="false">IF(K868=1,J868/G868^2,0)</f>
        <v>0</v>
      </c>
      <c r="Q868" s="2" t="n">
        <f aca="false">IF(K868=1,((E868-Result!$B$7*D868)/G868)^2,0)</f>
        <v>0</v>
      </c>
    </row>
    <row r="869" customFormat="false" ht="15" hidden="false" customHeight="false" outlineLevel="0" collapsed="false">
      <c r="A869" s="4" t="s">
        <v>38</v>
      </c>
      <c r="B869" s="4" t="s">
        <v>935</v>
      </c>
      <c r="C869" s="4" t="s">
        <v>63</v>
      </c>
      <c r="D869" s="5" t="n">
        <v>1103.5491</v>
      </c>
      <c r="E869" s="5" t="n">
        <v>3.49</v>
      </c>
      <c r="F869" s="5" t="n">
        <v>0.00508193795962527</v>
      </c>
      <c r="G869" s="5" t="n">
        <v>1.3972</v>
      </c>
      <c r="H869" s="2" t="n">
        <f aca="false">D869*F869</f>
        <v>5.6081680616003</v>
      </c>
      <c r="I869" s="2" t="n">
        <f aca="false">IF(G869="","",D869*1000000/Inputs!$B$4^2*Inputs!$B$5/G869)</f>
        <v>4.01368242658169</v>
      </c>
      <c r="J869" s="2" t="n">
        <f aca="false">IF(C869="A",Inputs!$B$7,IF(C869="B",Inputs!$B$8,IF(C869="C",Inputs!$B$9,0)))</f>
        <v>1</v>
      </c>
      <c r="K869" s="2" t="n">
        <f aca="false">IF(AND(E869&lt;&gt;"",G869&lt;&gt;"",J869&gt;0),IF(I869&gt;=Inputs!$B$6,1,0),0)</f>
        <v>1</v>
      </c>
      <c r="L869" s="5" t="n">
        <v>0</v>
      </c>
      <c r="M869" s="5" t="n">
        <v>1103.5784</v>
      </c>
      <c r="N869" s="5" t="n">
        <v>5.61</v>
      </c>
      <c r="O869" s="4" t="s">
        <v>64</v>
      </c>
      <c r="P869" s="2" t="n">
        <f aca="false">IF(K869=1,J869/G869^2,0)</f>
        <v>0.512251036775608</v>
      </c>
      <c r="Q869" s="2" t="n">
        <f aca="false">IF(K869=1,((E869-Result!$B$7*D869)/G869)^2,0)</f>
        <v>2.23106904500527</v>
      </c>
    </row>
    <row r="870" customFormat="false" ht="15" hidden="false" customHeight="false" outlineLevel="0" collapsed="false">
      <c r="A870" s="4" t="s">
        <v>38</v>
      </c>
      <c r="B870" s="4" t="s">
        <v>936</v>
      </c>
      <c r="C870" s="4" t="s">
        <v>63</v>
      </c>
      <c r="D870" s="5" t="n">
        <v>1440.1426</v>
      </c>
      <c r="E870" s="5" t="n">
        <v>10.08</v>
      </c>
      <c r="F870" s="5" t="n">
        <v>0.00508188327087078</v>
      </c>
      <c r="G870" s="5" t="n">
        <v>1.3972</v>
      </c>
      <c r="H870" s="2" t="n">
        <f aca="false">D870*F870</f>
        <v>7.31863658660835</v>
      </c>
      <c r="I870" s="2" t="n">
        <f aca="false">IF(G870="","",D870*1000000/Inputs!$B$4^2*Inputs!$B$5/G870)</f>
        <v>5.23789566353836</v>
      </c>
      <c r="J870" s="2" t="n">
        <f aca="false">IF(C870="A",Inputs!$B$7,IF(C870="B",Inputs!$B$8,IF(C870="C",Inputs!$B$9,0)))</f>
        <v>1</v>
      </c>
      <c r="K870" s="2" t="n">
        <f aca="false">IF(AND(E870&lt;&gt;"",G870&lt;&gt;"",J870&gt;0),IF(I870&gt;=Inputs!$B$6,1,0),0)</f>
        <v>1</v>
      </c>
      <c r="L870" s="5" t="n">
        <v>0</v>
      </c>
      <c r="M870" s="5" t="n">
        <v>1440.1701</v>
      </c>
      <c r="N870" s="5" t="n">
        <v>7.32</v>
      </c>
      <c r="O870" s="4" t="s">
        <v>64</v>
      </c>
      <c r="P870" s="2" t="n">
        <f aca="false">IF(K870=1,J870/G870^2,0)</f>
        <v>0.512251036775608</v>
      </c>
      <c r="Q870" s="2" t="n">
        <f aca="false">IF(K870=1,((E870-Result!$B$7*D870)/G870)^2,0)</f>
        <v>4.02180313131111</v>
      </c>
    </row>
    <row r="871" customFormat="false" ht="15" hidden="false" customHeight="false" outlineLevel="0" collapsed="false">
      <c r="A871" s="4" t="s">
        <v>38</v>
      </c>
      <c r="B871" s="4" t="s">
        <v>937</v>
      </c>
      <c r="C871" s="4" t="s">
        <v>63</v>
      </c>
      <c r="D871" s="5" t="n">
        <v>540.123</v>
      </c>
      <c r="E871" s="5" t="n">
        <v>2</v>
      </c>
      <c r="F871" s="5" t="n">
        <v>0.00508203077721683</v>
      </c>
      <c r="G871" s="5" t="n">
        <v>1.3972</v>
      </c>
      <c r="H871" s="2" t="n">
        <f aca="false">D871*F871</f>
        <v>2.74492170948269</v>
      </c>
      <c r="I871" s="2" t="n">
        <f aca="false">IF(G871="","",D871*1000000/Inputs!$B$4^2*Inputs!$B$5/G871)</f>
        <v>1.96446374093602</v>
      </c>
      <c r="J871" s="2" t="n">
        <f aca="false">IF(C871="A",Inputs!$B$7,IF(C871="B",Inputs!$B$8,IF(C871="C",Inputs!$B$9,0)))</f>
        <v>1</v>
      </c>
      <c r="K871" s="2" t="n">
        <f aca="false">IF(AND(E871&lt;&gt;"",G871&lt;&gt;"",J871&gt;0),IF(I871&gt;=Inputs!$B$6,1,0),0)</f>
        <v>0</v>
      </c>
      <c r="L871" s="5" t="n">
        <v>0</v>
      </c>
      <c r="M871" s="5" t="n">
        <v>540.1271</v>
      </c>
      <c r="N871" s="5" t="n">
        <v>2.75</v>
      </c>
      <c r="O871" s="4" t="s">
        <v>64</v>
      </c>
      <c r="P871" s="2" t="n">
        <f aca="false">IF(K871=1,J871/G871^2,0)</f>
        <v>0</v>
      </c>
      <c r="Q871" s="2" t="n">
        <f aca="false">IF(K871=1,((E871-Result!$B$7*D871)/G871)^2,0)</f>
        <v>0</v>
      </c>
    </row>
    <row r="872" customFormat="false" ht="15" hidden="false" customHeight="false" outlineLevel="0" collapsed="false">
      <c r="A872" s="4" t="s">
        <v>38</v>
      </c>
      <c r="B872" s="4" t="s">
        <v>938</v>
      </c>
      <c r="C872" s="4" t="s">
        <v>63</v>
      </c>
      <c r="D872" s="5" t="n">
        <v>438.94</v>
      </c>
      <c r="E872" s="5" t="n">
        <v>-0.48</v>
      </c>
      <c r="F872" s="5" t="n">
        <v>0.00508200295862165</v>
      </c>
      <c r="G872" s="5" t="n">
        <v>1.3972</v>
      </c>
      <c r="H872" s="2" t="n">
        <f aca="false">D872*F872</f>
        <v>2.23069437865739</v>
      </c>
      <c r="I872" s="2" t="n">
        <f aca="false">IF(G872="","",D872*1000000/Inputs!$B$4^2*Inputs!$B$5/G872)</f>
        <v>1.59645435289084</v>
      </c>
      <c r="J872" s="2" t="n">
        <f aca="false">IF(C872="A",Inputs!$B$7,IF(C872="B",Inputs!$B$8,IF(C872="C",Inputs!$B$9,0)))</f>
        <v>1</v>
      </c>
      <c r="K872" s="2" t="n">
        <f aca="false">IF(AND(E872&lt;&gt;"",G872&lt;&gt;"",J872&gt;0),IF(I872&gt;=Inputs!$B$6,1,0),0)</f>
        <v>0</v>
      </c>
      <c r="L872" s="5" t="n">
        <v>1</v>
      </c>
      <c r="M872" s="5" t="n">
        <v>438.9435</v>
      </c>
      <c r="N872" s="5" t="n">
        <v>2.23</v>
      </c>
      <c r="O872" s="4" t="s">
        <v>64</v>
      </c>
      <c r="P872" s="2" t="n">
        <f aca="false">IF(K872=1,J872/G872^2,0)</f>
        <v>0</v>
      </c>
      <c r="Q872" s="2" t="n">
        <f aca="false">IF(K872=1,((E872-Result!$B$7*D872)/G872)^2,0)</f>
        <v>0</v>
      </c>
    </row>
    <row r="873" customFormat="false" ht="15" hidden="false" customHeight="false" outlineLevel="0" collapsed="false">
      <c r="A873" s="4" t="s">
        <v>38</v>
      </c>
      <c r="B873" s="4" t="s">
        <v>939</v>
      </c>
      <c r="C873" s="4" t="s">
        <v>63</v>
      </c>
      <c r="D873" s="5" t="n">
        <v>725.0344</v>
      </c>
      <c r="E873" s="5" t="n">
        <v>0.22</v>
      </c>
      <c r="F873" s="5" t="n">
        <v>0.00508199642452407</v>
      </c>
      <c r="G873" s="5" t="n">
        <v>1.3972</v>
      </c>
      <c r="H873" s="2" t="n">
        <f aca="false">D873*F873</f>
        <v>3.68462222845696</v>
      </c>
      <c r="I873" s="2" t="n">
        <f aca="false">IF(G873="","",D873*1000000/Inputs!$B$4^2*Inputs!$B$5/G873)</f>
        <v>2.63699896085022</v>
      </c>
      <c r="J873" s="2" t="n">
        <f aca="false">IF(C873="A",Inputs!$B$7,IF(C873="B",Inputs!$B$8,IF(C873="C",Inputs!$B$9,0)))</f>
        <v>1</v>
      </c>
      <c r="K873" s="2" t="n">
        <f aca="false">IF(AND(E873&lt;&gt;"",G873&lt;&gt;"",J873&gt;0),IF(I873&gt;=Inputs!$B$6,1,0),0)</f>
        <v>1</v>
      </c>
      <c r="L873" s="5" t="n">
        <v>0</v>
      </c>
      <c r="M873" s="5" t="n">
        <v>725.0442</v>
      </c>
      <c r="N873" s="5" t="n">
        <v>3.69</v>
      </c>
      <c r="O873" s="4" t="s">
        <v>64</v>
      </c>
      <c r="P873" s="2" t="n">
        <f aca="false">IF(K873=1,J873/G873^2,0)</f>
        <v>0.512251036775608</v>
      </c>
      <c r="Q873" s="2" t="n">
        <f aca="false">IF(K873=1,((E873-Result!$B$7*D873)/G873)^2,0)</f>
        <v>6.0761582763058</v>
      </c>
    </row>
    <row r="874" customFormat="false" ht="15" hidden="false" customHeight="false" outlineLevel="0" collapsed="false">
      <c r="A874" s="4" t="s">
        <v>38</v>
      </c>
      <c r="B874" s="4" t="s">
        <v>940</v>
      </c>
      <c r="C874" s="4" t="s">
        <v>63</v>
      </c>
      <c r="D874" s="5" t="n">
        <v>254.0247</v>
      </c>
      <c r="E874" s="5" t="n">
        <v>1.3</v>
      </c>
      <c r="F874" s="5" t="n">
        <v>0.00508208166675551</v>
      </c>
      <c r="G874" s="5" t="n">
        <v>1.3972</v>
      </c>
      <c r="H874" s="2" t="n">
        <f aca="false">D874*F874</f>
        <v>1.29097427077307</v>
      </c>
      <c r="I874" s="2" t="n">
        <f aca="false">IF(G874="","",D874*1000000/Inputs!$B$4^2*Inputs!$B$5/G874)</f>
        <v>0.923904948413882</v>
      </c>
      <c r="J874" s="2" t="n">
        <f aca="false">IF(C874="A",Inputs!$B$7,IF(C874="B",Inputs!$B$8,IF(C874="C",Inputs!$B$9,0)))</f>
        <v>1</v>
      </c>
      <c r="K874" s="2" t="n">
        <f aca="false">IF(AND(E874&lt;&gt;"",G874&lt;&gt;"",J874&gt;0),IF(I874&gt;=Inputs!$B$6,1,0),0)</f>
        <v>0</v>
      </c>
      <c r="L874" s="5" t="n">
        <v>0</v>
      </c>
      <c r="M874" s="5" t="n">
        <v>254.0264</v>
      </c>
      <c r="N874" s="5" t="n">
        <v>1.29</v>
      </c>
      <c r="O874" s="4" t="s">
        <v>64</v>
      </c>
      <c r="P874" s="2" t="n">
        <f aca="false">IF(K874=1,J874/G874^2,0)</f>
        <v>0</v>
      </c>
      <c r="Q874" s="2" t="n">
        <f aca="false">IF(K874=1,((E874-Result!$B$7*D874)/G874)^2,0)</f>
        <v>0</v>
      </c>
    </row>
    <row r="875" customFormat="false" ht="15" hidden="false" customHeight="false" outlineLevel="0" collapsed="false">
      <c r="A875" s="4" t="s">
        <v>38</v>
      </c>
      <c r="B875" s="4" t="s">
        <v>941</v>
      </c>
      <c r="C875" s="4" t="s">
        <v>63</v>
      </c>
      <c r="D875" s="5" t="n">
        <v>186.772</v>
      </c>
      <c r="E875" s="5" t="n">
        <v>-1.78</v>
      </c>
      <c r="F875" s="5" t="n">
        <v>0.0050820819211951</v>
      </c>
      <c r="G875" s="5" t="n">
        <v>1.3972</v>
      </c>
      <c r="H875" s="2" t="n">
        <f aca="false">D875*F875</f>
        <v>0.949190604585451</v>
      </c>
      <c r="I875" s="2" t="n">
        <f aca="false">IF(G875="","",D875*1000000/Inputs!$B$4^2*Inputs!$B$5/G875)</f>
        <v>0.679302347469193</v>
      </c>
      <c r="J875" s="2" t="n">
        <f aca="false">IF(C875="A",Inputs!$B$7,IF(C875="B",Inputs!$B$8,IF(C875="C",Inputs!$B$9,0)))</f>
        <v>1</v>
      </c>
      <c r="K875" s="2" t="n">
        <f aca="false">IF(AND(E875&lt;&gt;"",G875&lt;&gt;"",J875&gt;0),IF(I875&gt;=Inputs!$B$6,1,0),0)</f>
        <v>0</v>
      </c>
      <c r="L875" s="5" t="n">
        <v>0</v>
      </c>
      <c r="M875" s="5" t="n">
        <v>186.7736</v>
      </c>
      <c r="N875" s="5" t="n">
        <v>0.95</v>
      </c>
      <c r="O875" s="4" t="s">
        <v>64</v>
      </c>
      <c r="P875" s="2" t="n">
        <f aca="false">IF(K875=1,J875/G875^2,0)</f>
        <v>0</v>
      </c>
      <c r="Q875" s="2" t="n">
        <f aca="false">IF(K875=1,((E875-Result!$B$7*D875)/G875)^2,0)</f>
        <v>0</v>
      </c>
    </row>
    <row r="876" customFormat="false" ht="15" hidden="false" customHeight="false" outlineLevel="0" collapsed="false">
      <c r="A876" s="4" t="s">
        <v>38</v>
      </c>
      <c r="B876" s="4" t="s">
        <v>942</v>
      </c>
      <c r="C876" s="4" t="s">
        <v>63</v>
      </c>
      <c r="D876" s="5" t="n">
        <v>557.0755</v>
      </c>
      <c r="E876" s="5" t="n">
        <v>1.22</v>
      </c>
      <c r="F876" s="5" t="n">
        <v>0.00508204758824898</v>
      </c>
      <c r="G876" s="5" t="n">
        <v>1.3972</v>
      </c>
      <c r="H876" s="2" t="n">
        <f aca="false">D876*F876</f>
        <v>2.83108420124759</v>
      </c>
      <c r="I876" s="2" t="n">
        <f aca="false">IF(G876="","",D876*1000000/Inputs!$B$4^2*Inputs!$B$5/G876)</f>
        <v>2.026121125584</v>
      </c>
      <c r="J876" s="2" t="n">
        <f aca="false">IF(C876="A",Inputs!$B$7,IF(C876="B",Inputs!$B$8,IF(C876="C",Inputs!$B$9,0)))</f>
        <v>1</v>
      </c>
      <c r="K876" s="2" t="n">
        <f aca="false">IF(AND(E876&lt;&gt;"",G876&lt;&gt;"",J876&gt;0),IF(I876&gt;=Inputs!$B$6,1,0),0)</f>
        <v>1</v>
      </c>
      <c r="L876" s="5" t="n">
        <v>0</v>
      </c>
      <c r="M876" s="5" t="n">
        <v>557.0806</v>
      </c>
      <c r="N876" s="5" t="n">
        <v>2.83</v>
      </c>
      <c r="O876" s="4" t="s">
        <v>64</v>
      </c>
      <c r="P876" s="2" t="n">
        <f aca="false">IF(K876=1,J876/G876^2,0)</f>
        <v>0.512251036775608</v>
      </c>
      <c r="Q876" s="2" t="n">
        <f aca="false">IF(K876=1,((E876-Result!$B$7*D876)/G876)^2,0)</f>
        <v>1.303623153078</v>
      </c>
    </row>
    <row r="877" customFormat="false" ht="15" hidden="false" customHeight="false" outlineLevel="0" collapsed="false">
      <c r="A877" s="4" t="s">
        <v>38</v>
      </c>
      <c r="B877" s="4" t="s">
        <v>943</v>
      </c>
      <c r="C877" s="4" t="s">
        <v>63</v>
      </c>
      <c r="D877" s="5" t="n">
        <v>304.9087</v>
      </c>
      <c r="E877" s="5" t="n">
        <v>-0.09</v>
      </c>
      <c r="F877" s="5" t="n">
        <v>0.005082132781359</v>
      </c>
      <c r="G877" s="5" t="n">
        <v>1.3972</v>
      </c>
      <c r="H877" s="2" t="n">
        <f aca="false">D877*F877</f>
        <v>1.54958649959156</v>
      </c>
      <c r="I877" s="2" t="n">
        <f aca="false">IF(G877="","",D877*1000000/Inputs!$B$4^2*Inputs!$B$5/G877)</f>
        <v>1.1089734846432</v>
      </c>
      <c r="J877" s="2" t="n">
        <f aca="false">IF(C877="A",Inputs!$B$7,IF(C877="B",Inputs!$B$8,IF(C877="C",Inputs!$B$9,0)))</f>
        <v>1</v>
      </c>
      <c r="K877" s="2" t="n">
        <f aca="false">IF(AND(E877&lt;&gt;"",G877&lt;&gt;"",J877&gt;0),IF(I877&gt;=Inputs!$B$6,1,0),0)</f>
        <v>0</v>
      </c>
      <c r="L877" s="5" t="n">
        <v>0</v>
      </c>
      <c r="M877" s="5" t="n">
        <v>304.9107</v>
      </c>
      <c r="N877" s="5" t="n">
        <v>1.55</v>
      </c>
      <c r="O877" s="4" t="s">
        <v>64</v>
      </c>
      <c r="P877" s="2" t="n">
        <f aca="false">IF(K877=1,J877/G877^2,0)</f>
        <v>0</v>
      </c>
      <c r="Q877" s="2" t="n">
        <f aca="false">IF(K877=1,((E877-Result!$B$7*D877)/G877)^2,0)</f>
        <v>0</v>
      </c>
    </row>
    <row r="878" customFormat="false" ht="15" hidden="false" customHeight="false" outlineLevel="0" collapsed="false">
      <c r="A878" s="4" t="s">
        <v>38</v>
      </c>
      <c r="B878" s="4" t="s">
        <v>944</v>
      </c>
      <c r="C878" s="4" t="s">
        <v>63</v>
      </c>
      <c r="D878" s="5" t="n">
        <v>371.034</v>
      </c>
      <c r="E878" s="5" t="n">
        <v>0.93</v>
      </c>
      <c r="F878" s="5" t="n">
        <v>0.00508207924460462</v>
      </c>
      <c r="G878" s="5" t="n">
        <v>1.3972</v>
      </c>
      <c r="H878" s="2" t="n">
        <f aca="false">D878*F878</f>
        <v>1.88562419044263</v>
      </c>
      <c r="I878" s="2" t="n">
        <f aca="false">IF(G878="","",D878*1000000/Inputs!$B$4^2*Inputs!$B$5/G878)</f>
        <v>1.34947565583109</v>
      </c>
      <c r="J878" s="2" t="n">
        <f aca="false">IF(C878="A",Inputs!$B$7,IF(C878="B",Inputs!$B$8,IF(C878="C",Inputs!$B$9,0)))</f>
        <v>1</v>
      </c>
      <c r="K878" s="2" t="n">
        <f aca="false">IF(AND(E878&lt;&gt;"",G878&lt;&gt;"",J878&gt;0),IF(I878&gt;=Inputs!$B$6,1,0),0)</f>
        <v>0</v>
      </c>
      <c r="L878" s="5" t="n">
        <v>1</v>
      </c>
      <c r="M878" s="5" t="n">
        <v>371.0408</v>
      </c>
      <c r="N878" s="5" t="n">
        <v>1.89</v>
      </c>
      <c r="O878" s="4" t="s">
        <v>64</v>
      </c>
      <c r="P878" s="2" t="n">
        <f aca="false">IF(K878=1,J878/G878^2,0)</f>
        <v>0</v>
      </c>
      <c r="Q878" s="2" t="n">
        <f aca="false">IF(K878=1,((E878-Result!$B$7*D878)/G878)^2,0)</f>
        <v>0</v>
      </c>
    </row>
    <row r="879" customFormat="false" ht="15" hidden="false" customHeight="false" outlineLevel="0" collapsed="false">
      <c r="A879" s="4" t="s">
        <v>38</v>
      </c>
      <c r="B879" s="4" t="s">
        <v>945</v>
      </c>
      <c r="C879" s="4" t="s">
        <v>63</v>
      </c>
      <c r="D879" s="5" t="n">
        <v>568.7456</v>
      </c>
      <c r="E879" s="5" t="n">
        <v>-1.13</v>
      </c>
      <c r="F879" s="5" t="n">
        <v>0.00508215813922168</v>
      </c>
      <c r="G879" s="5" t="n">
        <v>1.3972</v>
      </c>
      <c r="H879" s="2" t="n">
        <f aca="false">D879*F879</f>
        <v>2.89045508018652</v>
      </c>
      <c r="I879" s="2" t="n">
        <f aca="false">IF(G879="","",D879*1000000/Inputs!$B$4^2*Inputs!$B$5/G879)</f>
        <v>2.0685660655386</v>
      </c>
      <c r="J879" s="2" t="n">
        <f aca="false">IF(C879="A",Inputs!$B$7,IF(C879="B",Inputs!$B$8,IF(C879="C",Inputs!$B$9,0)))</f>
        <v>1</v>
      </c>
      <c r="K879" s="2" t="n">
        <f aca="false">IF(AND(E879&lt;&gt;"",G879&lt;&gt;"",J879&gt;0),IF(I879&gt;=Inputs!$B$6,1,0),0)</f>
        <v>1</v>
      </c>
      <c r="L879" s="5" t="n">
        <v>0</v>
      </c>
      <c r="M879" s="5" t="n">
        <v>568.7536</v>
      </c>
      <c r="N879" s="5" t="n">
        <v>2.89</v>
      </c>
      <c r="O879" s="4" t="s">
        <v>64</v>
      </c>
      <c r="P879" s="2" t="n">
        <f aca="false">IF(K879=1,J879/G879^2,0)</f>
        <v>0.512251036775608</v>
      </c>
      <c r="Q879" s="2" t="n">
        <f aca="false">IF(K879=1,((E879-Result!$B$7*D879)/G879)^2,0)</f>
        <v>8.21343522571994</v>
      </c>
    </row>
    <row r="880" customFormat="false" ht="15" hidden="false" customHeight="false" outlineLevel="0" collapsed="false">
      <c r="A880" s="4" t="s">
        <v>38</v>
      </c>
      <c r="B880" s="4" t="s">
        <v>946</v>
      </c>
      <c r="C880" s="4" t="s">
        <v>63</v>
      </c>
      <c r="D880" s="5" t="n">
        <v>634.8767</v>
      </c>
      <c r="E880" s="5" t="n">
        <v>-0.11</v>
      </c>
      <c r="F880" s="5" t="n">
        <v>0.00508212383588752</v>
      </c>
      <c r="G880" s="5" t="n">
        <v>1.3972</v>
      </c>
      <c r="H880" s="2" t="n">
        <f aca="false">D880*F880</f>
        <v>3.22652200991961</v>
      </c>
      <c r="I880" s="2" t="n">
        <f aca="false">IF(G880="","",D880*1000000/Inputs!$B$4^2*Inputs!$B$5/G880)</f>
        <v>2.30908933171725</v>
      </c>
      <c r="J880" s="2" t="n">
        <f aca="false">IF(C880="A",Inputs!$B$7,IF(C880="B",Inputs!$B$8,IF(C880="C",Inputs!$B$9,0)))</f>
        <v>1</v>
      </c>
      <c r="K880" s="2" t="n">
        <f aca="false">IF(AND(E880&lt;&gt;"",G880&lt;&gt;"",J880&gt;0),IF(I880&gt;=Inputs!$B$6,1,0),0)</f>
        <v>1</v>
      </c>
      <c r="L880" s="5" t="n">
        <v>0</v>
      </c>
      <c r="M880" s="5" t="n">
        <v>634.8837</v>
      </c>
      <c r="N880" s="5" t="n">
        <v>3.23</v>
      </c>
      <c r="O880" s="4" t="s">
        <v>64</v>
      </c>
      <c r="P880" s="2" t="n">
        <f aca="false">IF(K880=1,J880/G880^2,0)</f>
        <v>0.512251036775608</v>
      </c>
      <c r="Q880" s="2" t="n">
        <f aca="false">IF(K880=1,((E880-Result!$B$7*D880)/G880)^2,0)</f>
        <v>5.64097350718144</v>
      </c>
    </row>
    <row r="881" customFormat="false" ht="15" hidden="false" customHeight="false" outlineLevel="0" collapsed="false">
      <c r="A881" s="4" t="s">
        <v>38</v>
      </c>
      <c r="B881" s="4" t="s">
        <v>947</v>
      </c>
      <c r="C881" s="4" t="s">
        <v>63</v>
      </c>
      <c r="D881" s="5" t="n">
        <v>1138.0528</v>
      </c>
      <c r="E881" s="5" t="n">
        <v>4.78</v>
      </c>
      <c r="F881" s="5" t="n">
        <v>0.00508224169968337</v>
      </c>
      <c r="G881" s="5" t="n">
        <v>1.3972</v>
      </c>
      <c r="H881" s="2" t="n">
        <f aca="false">D881*F881</f>
        <v>5.78385939660141</v>
      </c>
      <c r="I881" s="2" t="n">
        <f aca="false">IF(G881="","",D881*1000000/Inputs!$B$4^2*Inputs!$B$5/G881)</f>
        <v>4.13917470811411</v>
      </c>
      <c r="J881" s="2" t="n">
        <f aca="false">IF(C881="A",Inputs!$B$7,IF(C881="B",Inputs!$B$8,IF(C881="C",Inputs!$B$9,0)))</f>
        <v>1</v>
      </c>
      <c r="K881" s="2" t="n">
        <f aca="false">IF(AND(E881&lt;&gt;"",G881&lt;&gt;"",J881&gt;0),IF(I881&gt;=Inputs!$B$6,1,0),0)</f>
        <v>1</v>
      </c>
      <c r="L881" s="5" t="n">
        <v>0</v>
      </c>
      <c r="M881" s="5" t="n">
        <v>1138.0794</v>
      </c>
      <c r="N881" s="5" t="n">
        <v>5.79</v>
      </c>
      <c r="O881" s="4" t="s">
        <v>64</v>
      </c>
      <c r="P881" s="2" t="n">
        <f aca="false">IF(K881=1,J881/G881^2,0)</f>
        <v>0.512251036775608</v>
      </c>
      <c r="Q881" s="2" t="n">
        <f aca="false">IF(K881=1,((E881-Result!$B$7*D881)/G881)^2,0)</f>
        <v>0.483304244886489</v>
      </c>
    </row>
    <row r="882" customFormat="false" ht="15" hidden="false" customHeight="false" outlineLevel="0" collapsed="false">
      <c r="A882" s="4" t="s">
        <v>38</v>
      </c>
      <c r="B882" s="4" t="s">
        <v>948</v>
      </c>
      <c r="C882" s="4" t="s">
        <v>63</v>
      </c>
      <c r="D882" s="5" t="n">
        <v>956.6376</v>
      </c>
      <c r="E882" s="5" t="n">
        <v>4.3</v>
      </c>
      <c r="F882" s="5" t="n">
        <v>0.00508228620835266</v>
      </c>
      <c r="G882" s="5" t="n">
        <v>1.3972</v>
      </c>
      <c r="H882" s="2" t="n">
        <f aca="false">D882*F882</f>
        <v>4.86190608087159</v>
      </c>
      <c r="I882" s="2" t="n">
        <f aca="false">IF(G882="","",D882*1000000/Inputs!$B$4^2*Inputs!$B$5/G882)</f>
        <v>3.47935540315087</v>
      </c>
      <c r="J882" s="2" t="n">
        <f aca="false">IF(C882="A",Inputs!$B$7,IF(C882="B",Inputs!$B$8,IF(C882="C",Inputs!$B$9,0)))</f>
        <v>1</v>
      </c>
      <c r="K882" s="2" t="n">
        <f aca="false">IF(AND(E882&lt;&gt;"",G882&lt;&gt;"",J882&gt;0),IF(I882&gt;=Inputs!$B$6,1,0),0)</f>
        <v>1</v>
      </c>
      <c r="L882" s="5" t="n">
        <v>0</v>
      </c>
      <c r="M882" s="5" t="n">
        <v>956.6547</v>
      </c>
      <c r="N882" s="5" t="n">
        <v>4.86</v>
      </c>
      <c r="O882" s="4" t="s">
        <v>64</v>
      </c>
      <c r="P882" s="2" t="n">
        <f aca="false">IF(K882=1,J882/G882^2,0)</f>
        <v>0.512251036775608</v>
      </c>
      <c r="Q882" s="2" t="n">
        <f aca="false">IF(K882=1,((E882-Result!$B$7*D882)/G882)^2,0)</f>
        <v>0.146357981735125</v>
      </c>
    </row>
    <row r="883" customFormat="false" ht="15" hidden="false" customHeight="false" outlineLevel="0" collapsed="false">
      <c r="A883" s="4" t="s">
        <v>38</v>
      </c>
      <c r="B883" s="4" t="s">
        <v>949</v>
      </c>
      <c r="C883" s="4" t="s">
        <v>63</v>
      </c>
      <c r="D883" s="5" t="n">
        <v>123.487</v>
      </c>
      <c r="E883" s="5" t="n">
        <v>-0.57</v>
      </c>
      <c r="F883" s="5" t="n">
        <v>0.00508232044788997</v>
      </c>
      <c r="G883" s="5" t="n">
        <v>1.3972</v>
      </c>
      <c r="H883" s="2" t="n">
        <f aca="false">D883*F883</f>
        <v>0.627600505148589</v>
      </c>
      <c r="I883" s="2" t="n">
        <f aca="false">IF(G883="","",D883*1000000/Inputs!$B$4^2*Inputs!$B$5/G883)</f>
        <v>0.44913053874204</v>
      </c>
      <c r="J883" s="2" t="n">
        <f aca="false">IF(C883="A",Inputs!$B$7,IF(C883="B",Inputs!$B$8,IF(C883="C",Inputs!$B$9,0)))</f>
        <v>1</v>
      </c>
      <c r="K883" s="2" t="n">
        <f aca="false">IF(AND(E883&lt;&gt;"",G883&lt;&gt;"",J883&gt;0),IF(I883&gt;=Inputs!$B$6,1,0),0)</f>
        <v>0</v>
      </c>
      <c r="L883" s="5" t="n">
        <v>1</v>
      </c>
      <c r="M883" s="5" t="n">
        <v>123.486</v>
      </c>
      <c r="N883" s="5" t="n">
        <v>0.63</v>
      </c>
      <c r="O883" s="4" t="s">
        <v>64</v>
      </c>
      <c r="P883" s="2" t="n">
        <f aca="false">IF(K883=1,J883/G883^2,0)</f>
        <v>0</v>
      </c>
      <c r="Q883" s="2" t="n">
        <f aca="false">IF(K883=1,((E883-Result!$B$7*D883)/G883)^2,0)</f>
        <v>0</v>
      </c>
    </row>
    <row r="884" customFormat="false" ht="15" hidden="false" customHeight="false" outlineLevel="0" collapsed="false">
      <c r="A884" s="4" t="s">
        <v>38</v>
      </c>
      <c r="B884" s="4" t="s">
        <v>950</v>
      </c>
      <c r="C884" s="4" t="s">
        <v>63</v>
      </c>
      <c r="D884" s="5" t="n">
        <v>1205.5004</v>
      </c>
      <c r="E884" s="5" t="n">
        <v>4.86</v>
      </c>
      <c r="F884" s="5" t="n">
        <v>0.00508223276533014</v>
      </c>
      <c r="G884" s="5" t="n">
        <v>1.3972</v>
      </c>
      <c r="H884" s="2" t="n">
        <f aca="false">D884*F884</f>
        <v>6.12663363149859</v>
      </c>
      <c r="I884" s="2" t="n">
        <f aca="false">IF(G884="","",D884*1000000/Inputs!$B$4^2*Inputs!$B$5/G884)</f>
        <v>4.38448617348988</v>
      </c>
      <c r="J884" s="2" t="n">
        <f aca="false">IF(C884="A",Inputs!$B$7,IF(C884="B",Inputs!$B$8,IF(C884="C",Inputs!$B$9,0)))</f>
        <v>1</v>
      </c>
      <c r="K884" s="2" t="n">
        <f aca="false">IF(AND(E884&lt;&gt;"",G884&lt;&gt;"",J884&gt;0),IF(I884&gt;=Inputs!$B$6,1,0),0)</f>
        <v>1</v>
      </c>
      <c r="L884" s="5" t="n">
        <v>0</v>
      </c>
      <c r="M884" s="5" t="n">
        <v>1205.5205</v>
      </c>
      <c r="N884" s="5" t="n">
        <v>6.13</v>
      </c>
      <c r="O884" s="4" t="s">
        <v>64</v>
      </c>
      <c r="P884" s="2" t="n">
        <f aca="false">IF(K884=1,J884/G884^2,0)</f>
        <v>0.512251036775608</v>
      </c>
      <c r="Q884" s="2" t="n">
        <f aca="false">IF(K884=1,((E884-Result!$B$7*D884)/G884)^2,0)</f>
        <v>0.777749341024929</v>
      </c>
    </row>
    <row r="885" customFormat="false" ht="15" hidden="false" customHeight="false" outlineLevel="0" collapsed="false">
      <c r="A885" s="4" t="s">
        <v>38</v>
      </c>
      <c r="B885" s="4" t="s">
        <v>951</v>
      </c>
      <c r="C885" s="4" t="s">
        <v>63</v>
      </c>
      <c r="D885" s="5" t="n">
        <v>1972.5102</v>
      </c>
      <c r="E885" s="5" t="n">
        <v>8.72</v>
      </c>
      <c r="F885" s="5" t="n">
        <v>0.00508226702597642</v>
      </c>
      <c r="G885" s="5" t="n">
        <v>1.3972</v>
      </c>
      <c r="H885" s="2" t="n">
        <f aca="false">D885*F885</f>
        <v>10.0248235478622</v>
      </c>
      <c r="I885" s="2" t="n">
        <f aca="false">IF(G885="","",D885*1000000/Inputs!$B$4^2*Inputs!$B$5/G885)</f>
        <v>7.17415249216653</v>
      </c>
      <c r="J885" s="2" t="n">
        <f aca="false">IF(C885="A",Inputs!$B$7,IF(C885="B",Inputs!$B$8,IF(C885="C",Inputs!$B$9,0)))</f>
        <v>1</v>
      </c>
      <c r="K885" s="2" t="n">
        <f aca="false">IF(AND(E885&lt;&gt;"",G885&lt;&gt;"",J885&gt;0),IF(I885&gt;=Inputs!$B$6,1,0),0)</f>
        <v>1</v>
      </c>
      <c r="L885" s="5" t="n">
        <v>1</v>
      </c>
      <c r="M885" s="5" t="n">
        <v>1972.5591</v>
      </c>
      <c r="N885" s="5" t="n">
        <v>10.03</v>
      </c>
      <c r="O885" s="4" t="s">
        <v>64</v>
      </c>
      <c r="P885" s="2" t="n">
        <f aca="false">IF(K885=1,J885/G885^2,0)</f>
        <v>0.512251036775608</v>
      </c>
      <c r="Q885" s="2" t="n">
        <f aca="false">IF(K885=1,((E885-Result!$B$7*D885)/G885)^2,0)</f>
        <v>0.798345373427582</v>
      </c>
    </row>
    <row r="886" customFormat="false" ht="15" hidden="false" customHeight="false" outlineLevel="0" collapsed="false">
      <c r="A886" s="4" t="s">
        <v>38</v>
      </c>
      <c r="B886" s="4" t="s">
        <v>952</v>
      </c>
      <c r="C886" s="4" t="s">
        <v>63</v>
      </c>
      <c r="D886" s="5" t="n">
        <v>1527.2646</v>
      </c>
      <c r="E886" s="5" t="n">
        <v>9.28</v>
      </c>
      <c r="F886" s="5" t="n">
        <v>0.00508231152164877</v>
      </c>
      <c r="G886" s="5" t="n">
        <v>1.3972</v>
      </c>
      <c r="H886" s="2" t="n">
        <f aca="false">D886*F886</f>
        <v>7.7620344731863</v>
      </c>
      <c r="I886" s="2" t="n">
        <f aca="false">IF(G886="","",D886*1000000/Inputs!$B$4^2*Inputs!$B$5/G886)</f>
        <v>5.55476424724583</v>
      </c>
      <c r="J886" s="2" t="n">
        <f aca="false">IF(C886="A",Inputs!$B$7,IF(C886="B",Inputs!$B$8,IF(C886="C",Inputs!$B$9,0)))</f>
        <v>1</v>
      </c>
      <c r="K886" s="2" t="n">
        <f aca="false">IF(AND(E886&lt;&gt;"",G886&lt;&gt;"",J886&gt;0),IF(I886&gt;=Inputs!$B$6,1,0),0)</f>
        <v>1</v>
      </c>
      <c r="L886" s="5" t="n">
        <v>0</v>
      </c>
      <c r="M886" s="5" t="n">
        <v>1527.2915</v>
      </c>
      <c r="N886" s="5" t="n">
        <v>7.76</v>
      </c>
      <c r="O886" s="4" t="s">
        <v>64</v>
      </c>
      <c r="P886" s="2" t="n">
        <f aca="false">IF(K886=1,J886/G886^2,0)</f>
        <v>0.512251036775608</v>
      </c>
      <c r="Q886" s="2" t="n">
        <f aca="false">IF(K886=1,((E886-Result!$B$7*D886)/G886)^2,0)</f>
        <v>1.2493650749856</v>
      </c>
    </row>
    <row r="887" customFormat="false" ht="15" hidden="false" customHeight="false" outlineLevel="0" collapsed="false">
      <c r="A887" s="4" t="s">
        <v>38</v>
      </c>
      <c r="B887" s="4" t="s">
        <v>953</v>
      </c>
      <c r="C887" s="4" t="s">
        <v>63</v>
      </c>
      <c r="D887" s="5" t="n">
        <v>1325.185</v>
      </c>
      <c r="E887" s="5" t="n">
        <v>7.47</v>
      </c>
      <c r="F887" s="5" t="n">
        <v>0.00508234200203113</v>
      </c>
      <c r="G887" s="5" t="n">
        <v>1.3972</v>
      </c>
      <c r="H887" s="2" t="n">
        <f aca="false">D887*F887</f>
        <v>6.73504338596162</v>
      </c>
      <c r="I887" s="2" t="n">
        <f aca="false">IF(G887="","",D887*1000000/Inputs!$B$4^2*Inputs!$B$5/G887)</f>
        <v>4.81978712725121</v>
      </c>
      <c r="J887" s="2" t="n">
        <f aca="false">IF(C887="A",Inputs!$B$7,IF(C887="B",Inputs!$B$8,IF(C887="C",Inputs!$B$9,0)))</f>
        <v>1</v>
      </c>
      <c r="K887" s="2" t="n">
        <f aca="false">IF(AND(E887&lt;&gt;"",G887&lt;&gt;"",J887&gt;0),IF(I887&gt;=Inputs!$B$6,1,0),0)</f>
        <v>1</v>
      </c>
      <c r="L887" s="5" t="n">
        <v>1</v>
      </c>
      <c r="M887" s="5" t="n">
        <v>1325.2047</v>
      </c>
      <c r="N887" s="5" t="n">
        <v>6.74</v>
      </c>
      <c r="O887" s="4" t="s">
        <v>64</v>
      </c>
      <c r="P887" s="2" t="n">
        <f aca="false">IF(K887=1,J887/G887^2,0)</f>
        <v>0.512251036775608</v>
      </c>
      <c r="Q887" s="2" t="n">
        <f aca="false">IF(K887=1,((E887-Result!$B$7*D887)/G887)^2,0)</f>
        <v>0.306055061835167</v>
      </c>
    </row>
    <row r="888" customFormat="false" ht="15" hidden="false" customHeight="false" outlineLevel="0" collapsed="false">
      <c r="A888" s="4" t="s">
        <v>38</v>
      </c>
      <c r="B888" s="4" t="s">
        <v>954</v>
      </c>
      <c r="C888" s="4" t="s">
        <v>63</v>
      </c>
      <c r="D888" s="5" t="n">
        <v>760.664</v>
      </c>
      <c r="E888" s="5" t="n">
        <v>1.53</v>
      </c>
      <c r="F888" s="5" t="n">
        <v>0.00508242893822303</v>
      </c>
      <c r="G888" s="5" t="n">
        <v>1.3972</v>
      </c>
      <c r="H888" s="2" t="n">
        <f aca="false">D888*F888</f>
        <v>3.86602072586448</v>
      </c>
      <c r="I888" s="2" t="n">
        <f aca="false">IF(G888="","",D888*1000000/Inputs!$B$4^2*Inputs!$B$5/G888)</f>
        <v>2.76658621653838</v>
      </c>
      <c r="J888" s="2" t="n">
        <f aca="false">IF(C888="A",Inputs!$B$7,IF(C888="B",Inputs!$B$8,IF(C888="C",Inputs!$B$9,0)))</f>
        <v>1</v>
      </c>
      <c r="K888" s="2" t="n">
        <f aca="false">IF(AND(E888&lt;&gt;"",G888&lt;&gt;"",J888&gt;0),IF(I888&gt;=Inputs!$B$6,1,0),0)</f>
        <v>1</v>
      </c>
      <c r="L888" s="5" t="n">
        <v>0</v>
      </c>
      <c r="M888" s="5" t="n">
        <v>760.6739</v>
      </c>
      <c r="N888" s="5" t="n">
        <v>3.87</v>
      </c>
      <c r="O888" s="4" t="s">
        <v>64</v>
      </c>
      <c r="P888" s="2" t="n">
        <f aca="false">IF(K888=1,J888/G888^2,0)</f>
        <v>0.512251036775608</v>
      </c>
      <c r="Q888" s="2" t="n">
        <f aca="false">IF(K888=1,((E888-Result!$B$7*D888)/G888)^2,0)</f>
        <v>2.74322703160895</v>
      </c>
    </row>
    <row r="889" customFormat="false" ht="15" hidden="false" customHeight="false" outlineLevel="0" collapsed="false">
      <c r="A889" s="4" t="s">
        <v>38</v>
      </c>
      <c r="B889" s="4" t="s">
        <v>955</v>
      </c>
      <c r="C889" s="4" t="s">
        <v>63</v>
      </c>
      <c r="D889" s="5" t="n">
        <v>1003.76</v>
      </c>
      <c r="E889" s="5" t="n">
        <v>6.67</v>
      </c>
      <c r="F889" s="5" t="n">
        <v>0.00508235073243102</v>
      </c>
      <c r="G889" s="5" t="n">
        <v>1.3972</v>
      </c>
      <c r="H889" s="2" t="n">
        <f aca="false">D889*F889</f>
        <v>5.10146037118496</v>
      </c>
      <c r="I889" s="2" t="n">
        <f aca="false">IF(G889="","",D889*1000000/Inputs!$B$4^2*Inputs!$B$5/G889)</f>
        <v>3.65074274674832</v>
      </c>
      <c r="J889" s="2" t="n">
        <f aca="false">IF(C889="A",Inputs!$B$7,IF(C889="B",Inputs!$B$8,IF(C889="C",Inputs!$B$9,0)))</f>
        <v>1</v>
      </c>
      <c r="K889" s="2" t="n">
        <f aca="false">IF(AND(E889&lt;&gt;"",G889&lt;&gt;"",J889&gt;0),IF(I889&gt;=Inputs!$B$6,1,0),0)</f>
        <v>1</v>
      </c>
      <c r="L889" s="5" t="n">
        <v>0</v>
      </c>
      <c r="M889" s="5" t="n">
        <v>1003.7745</v>
      </c>
      <c r="N889" s="5" t="n">
        <v>5.1</v>
      </c>
      <c r="O889" s="4" t="s">
        <v>64</v>
      </c>
      <c r="P889" s="2" t="n">
        <f aca="false">IF(K889=1,J889/G889^2,0)</f>
        <v>0.512251036775608</v>
      </c>
      <c r="Q889" s="2" t="n">
        <f aca="false">IF(K889=1,((E889-Result!$B$7*D889)/G889)^2,0)</f>
        <v>1.3069991637236</v>
      </c>
    </row>
    <row r="890" customFormat="false" ht="15" hidden="false" customHeight="false" outlineLevel="0" collapsed="false">
      <c r="A890" s="4" t="s">
        <v>38</v>
      </c>
      <c r="B890" s="4" t="s">
        <v>956</v>
      </c>
      <c r="C890" s="4" t="s">
        <v>63</v>
      </c>
      <c r="D890" s="5" t="n">
        <v>439.239</v>
      </c>
      <c r="E890" s="5" t="n">
        <v>0.74</v>
      </c>
      <c r="F890" s="5" t="n">
        <v>0.00508251267897184</v>
      </c>
      <c r="G890" s="5" t="n">
        <v>1.3972</v>
      </c>
      <c r="H890" s="2" t="n">
        <f aca="false">D890*F890</f>
        <v>2.23243778659891</v>
      </c>
      <c r="I890" s="2" t="n">
        <f aca="false">IF(G890="","",D890*1000000/Inputs!$B$4^2*Inputs!$B$5/G890)</f>
        <v>1.59754183603549</v>
      </c>
      <c r="J890" s="2" t="n">
        <f aca="false">IF(C890="A",Inputs!$B$7,IF(C890="B",Inputs!$B$8,IF(C890="C",Inputs!$B$9,0)))</f>
        <v>1</v>
      </c>
      <c r="K890" s="2" t="n">
        <f aca="false">IF(AND(E890&lt;&gt;"",G890&lt;&gt;"",J890&gt;0),IF(I890&gt;=Inputs!$B$6,1,0),0)</f>
        <v>0</v>
      </c>
      <c r="L890" s="5" t="n">
        <v>0</v>
      </c>
      <c r="M890" s="5" t="n">
        <v>439.2437</v>
      </c>
      <c r="N890" s="5" t="n">
        <v>2.23</v>
      </c>
      <c r="O890" s="4" t="s">
        <v>64</v>
      </c>
      <c r="P890" s="2" t="n">
        <f aca="false">IF(K890=1,J890/G890^2,0)</f>
        <v>0</v>
      </c>
      <c r="Q890" s="2" t="n">
        <f aca="false">IF(K890=1,((E890-Result!$B$7*D890)/G890)^2,0)</f>
        <v>0</v>
      </c>
    </row>
    <row r="891" customFormat="false" ht="15" hidden="false" customHeight="false" outlineLevel="0" collapsed="false">
      <c r="A891" s="4" t="s">
        <v>38</v>
      </c>
      <c r="B891" s="4" t="s">
        <v>957</v>
      </c>
      <c r="C891" s="4" t="s">
        <v>63</v>
      </c>
      <c r="D891" s="5" t="n">
        <v>1676.134</v>
      </c>
      <c r="E891" s="5" t="n">
        <v>7.99</v>
      </c>
      <c r="F891" s="5" t="n">
        <v>0.00508261238174171</v>
      </c>
      <c r="G891" s="5" t="n">
        <v>1.3972</v>
      </c>
      <c r="H891" s="2" t="n">
        <f aca="false">D891*F891</f>
        <v>8.51913942185825</v>
      </c>
      <c r="I891" s="2" t="n">
        <f aca="false">IF(G891="","",D891*1000000/Inputs!$B$4^2*Inputs!$B$5/G891)</f>
        <v>6.09621228488707</v>
      </c>
      <c r="J891" s="2" t="n">
        <f aca="false">IF(C891="A",Inputs!$B$7,IF(C891="B",Inputs!$B$8,IF(C891="C",Inputs!$B$9,0)))</f>
        <v>1</v>
      </c>
      <c r="K891" s="2" t="n">
        <f aca="false">IF(AND(E891&lt;&gt;"",G891&lt;&gt;"",J891&gt;0),IF(I891&gt;=Inputs!$B$6,1,0),0)</f>
        <v>1</v>
      </c>
      <c r="L891" s="5" t="n">
        <v>1</v>
      </c>
      <c r="M891" s="5" t="n">
        <v>1676.1652</v>
      </c>
      <c r="N891" s="5" t="n">
        <v>8.52</v>
      </c>
      <c r="O891" s="4" t="s">
        <v>64</v>
      </c>
      <c r="P891" s="2" t="n">
        <f aca="false">IF(K891=1,J891/G891^2,0)</f>
        <v>0.512251036775608</v>
      </c>
      <c r="Q891" s="2" t="n">
        <f aca="false">IF(K891=1,((E891-Result!$B$7*D891)/G891)^2,0)</f>
        <v>0.118325453871803</v>
      </c>
    </row>
    <row r="892" customFormat="false" ht="15" hidden="false" customHeight="false" outlineLevel="0" collapsed="false">
      <c r="A892" s="4" t="s">
        <v>38</v>
      </c>
      <c r="B892" s="4" t="s">
        <v>958</v>
      </c>
      <c r="C892" s="4" t="s">
        <v>63</v>
      </c>
      <c r="D892" s="5" t="n">
        <v>419.1602</v>
      </c>
      <c r="E892" s="5" t="n">
        <v>2.87</v>
      </c>
      <c r="F892" s="5" t="n">
        <v>0.00508269904016933</v>
      </c>
      <c r="G892" s="5" t="n">
        <v>1.3972</v>
      </c>
      <c r="H892" s="2" t="n">
        <f aca="false">D892*F892</f>
        <v>2.13046514621718</v>
      </c>
      <c r="I892" s="2" t="n">
        <f aca="false">IF(G892="","",D892*1000000/Inputs!$B$4^2*Inputs!$B$5/G892)</f>
        <v>1.52451388765798</v>
      </c>
      <c r="J892" s="2" t="n">
        <f aca="false">IF(C892="A",Inputs!$B$7,IF(C892="B",Inputs!$B$8,IF(C892="C",Inputs!$B$9,0)))</f>
        <v>1</v>
      </c>
      <c r="K892" s="2" t="n">
        <f aca="false">IF(AND(E892&lt;&gt;"",G892&lt;&gt;"",J892&gt;0),IF(I892&gt;=Inputs!$B$6,1,0),0)</f>
        <v>0</v>
      </c>
      <c r="L892" s="5" t="n">
        <v>0</v>
      </c>
      <c r="M892" s="5" t="n">
        <v>419.1682</v>
      </c>
      <c r="N892" s="5" t="n">
        <v>2.13</v>
      </c>
      <c r="O892" s="4" t="s">
        <v>64</v>
      </c>
      <c r="P892" s="2" t="n">
        <f aca="false">IF(K892=1,J892/G892^2,0)</f>
        <v>0</v>
      </c>
      <c r="Q892" s="2" t="n">
        <f aca="false">IF(K892=1,((E892-Result!$B$7*D892)/G892)^2,0)</f>
        <v>0</v>
      </c>
    </row>
    <row r="893" customFormat="false" ht="15" hidden="false" customHeight="false" outlineLevel="0" collapsed="false">
      <c r="A893" s="4" t="s">
        <v>38</v>
      </c>
      <c r="B893" s="4" t="s">
        <v>959</v>
      </c>
      <c r="C893" s="4" t="s">
        <v>63</v>
      </c>
      <c r="D893" s="5" t="n">
        <v>817.7429</v>
      </c>
      <c r="E893" s="5" t="n">
        <v>4.38</v>
      </c>
      <c r="F893" s="5" t="n">
        <v>0.00508262108435121</v>
      </c>
      <c r="G893" s="5" t="n">
        <v>1.3972</v>
      </c>
      <c r="H893" s="2" t="n">
        <f aca="false">D893*F893</f>
        <v>4.1562773051185</v>
      </c>
      <c r="I893" s="2" t="n">
        <f aca="false">IF(G893="","",D893*1000000/Inputs!$B$4^2*Inputs!$B$5/G893)</f>
        <v>2.97418602143933</v>
      </c>
      <c r="J893" s="2" t="n">
        <f aca="false">IF(C893="A",Inputs!$B$7,IF(C893="B",Inputs!$B$8,IF(C893="C",Inputs!$B$9,0)))</f>
        <v>1</v>
      </c>
      <c r="K893" s="2" t="n">
        <f aca="false">IF(AND(E893&lt;&gt;"",G893&lt;&gt;"",J893&gt;0),IF(I893&gt;=Inputs!$B$6,1,0),0)</f>
        <v>1</v>
      </c>
      <c r="L893" s="5" t="n">
        <v>0</v>
      </c>
      <c r="M893" s="5" t="n">
        <v>817.7533</v>
      </c>
      <c r="N893" s="5" t="n">
        <v>4.16</v>
      </c>
      <c r="O893" s="4" t="s">
        <v>64</v>
      </c>
      <c r="P893" s="2" t="n">
        <f aca="false">IF(K893=1,J893/G893^2,0)</f>
        <v>0.512251036775608</v>
      </c>
      <c r="Q893" s="2" t="n">
        <f aca="false">IF(K893=1,((E893-Result!$B$7*D893)/G893)^2,0)</f>
        <v>0.0313541004497176</v>
      </c>
    </row>
    <row r="894" customFormat="false" ht="15" hidden="false" customHeight="false" outlineLevel="0" collapsed="false">
      <c r="A894" s="4" t="s">
        <v>38</v>
      </c>
      <c r="B894" s="4" t="s">
        <v>960</v>
      </c>
      <c r="C894" s="4" t="s">
        <v>63</v>
      </c>
      <c r="D894" s="5" t="n">
        <v>746.6961</v>
      </c>
      <c r="E894" s="5" t="n">
        <v>-0.16</v>
      </c>
      <c r="F894" s="5" t="n">
        <v>0.00508252860058977</v>
      </c>
      <c r="G894" s="5" t="n">
        <v>1.3972</v>
      </c>
      <c r="H894" s="2" t="n">
        <f aca="false">D894*F894</f>
        <v>3.79510428419884</v>
      </c>
      <c r="I894" s="2" t="n">
        <f aca="false">IF(G894="","",D894*1000000/Inputs!$B$4^2*Inputs!$B$5/G894)</f>
        <v>2.71578402317313</v>
      </c>
      <c r="J894" s="2" t="n">
        <f aca="false">IF(C894="A",Inputs!$B$7,IF(C894="B",Inputs!$B$8,IF(C894="C",Inputs!$B$9,0)))</f>
        <v>1</v>
      </c>
      <c r="K894" s="2" t="n">
        <f aca="false">IF(AND(E894&lt;&gt;"",G894&lt;&gt;"",J894&gt;0),IF(I894&gt;=Inputs!$B$6,1,0),0)</f>
        <v>1</v>
      </c>
      <c r="L894" s="5" t="n">
        <v>0</v>
      </c>
      <c r="M894" s="5" t="n">
        <v>746.705</v>
      </c>
      <c r="N894" s="5" t="n">
        <v>3.8</v>
      </c>
      <c r="O894" s="4" t="s">
        <v>64</v>
      </c>
      <c r="P894" s="2" t="n">
        <f aca="false">IF(K894=1,J894/G894^2,0)</f>
        <v>0.512251036775608</v>
      </c>
      <c r="Q894" s="2" t="n">
        <f aca="false">IF(K894=1,((E894-Result!$B$7*D894)/G894)^2,0)</f>
        <v>7.92596586995188</v>
      </c>
    </row>
    <row r="895" customFormat="false" ht="15" hidden="false" customHeight="false" outlineLevel="0" collapsed="false">
      <c r="A895" s="4" t="s">
        <v>38</v>
      </c>
      <c r="B895" s="4" t="s">
        <v>961</v>
      </c>
      <c r="C895" s="4" t="s">
        <v>63</v>
      </c>
      <c r="D895" s="5" t="n">
        <v>792.3358</v>
      </c>
      <c r="E895" s="5" t="n">
        <v>5.97</v>
      </c>
      <c r="F895" s="5" t="n">
        <v>0.00508271492634183</v>
      </c>
      <c r="G895" s="5" t="n">
        <v>1.3972</v>
      </c>
      <c r="H895" s="2" t="n">
        <f aca="false">D895*F895</f>
        <v>4.02721699733499</v>
      </c>
      <c r="I895" s="2" t="n">
        <f aca="false">IF(G895="","",D895*1000000/Inputs!$B$4^2*Inputs!$B$5/G895)</f>
        <v>2.881778686976</v>
      </c>
      <c r="J895" s="2" t="n">
        <f aca="false">IF(C895="A",Inputs!$B$7,IF(C895="B",Inputs!$B$8,IF(C895="C",Inputs!$B$9,0)))</f>
        <v>1</v>
      </c>
      <c r="K895" s="2" t="n">
        <f aca="false">IF(AND(E895&lt;&gt;"",G895&lt;&gt;"",J895&gt;0),IF(I895&gt;=Inputs!$B$6,1,0),0)</f>
        <v>1</v>
      </c>
      <c r="L895" s="5" t="n">
        <v>0</v>
      </c>
      <c r="M895" s="5" t="n">
        <v>792.3451</v>
      </c>
      <c r="N895" s="5" t="n">
        <v>4.03</v>
      </c>
      <c r="O895" s="4" t="s">
        <v>64</v>
      </c>
      <c r="P895" s="2" t="n">
        <f aca="false">IF(K895=1,J895/G895^2,0)</f>
        <v>0.512251036775608</v>
      </c>
      <c r="Q895" s="2" t="n">
        <f aca="false">IF(K895=1,((E895-Result!$B$7*D895)/G895)^2,0)</f>
        <v>1.97953209756186</v>
      </c>
    </row>
    <row r="896" customFormat="false" ht="15" hidden="false" customHeight="false" outlineLevel="0" collapsed="false">
      <c r="A896" s="4" t="s">
        <v>38</v>
      </c>
      <c r="B896" s="4" t="s">
        <v>962</v>
      </c>
      <c r="C896" s="4" t="s">
        <v>63</v>
      </c>
      <c r="D896" s="5" t="n">
        <v>721.2887</v>
      </c>
      <c r="E896" s="5" t="n">
        <v>1.42</v>
      </c>
      <c r="F896" s="5" t="n">
        <v>0.00508262828447427</v>
      </c>
      <c r="G896" s="5" t="n">
        <v>1.3972</v>
      </c>
      <c r="H896" s="2" t="n">
        <f aca="false">D896*F896</f>
        <v>3.66604234789168</v>
      </c>
      <c r="I896" s="2" t="n">
        <f aca="false">IF(G896="","",D896*1000000/Inputs!$B$4^2*Inputs!$B$5/G896)</f>
        <v>2.62337559758959</v>
      </c>
      <c r="J896" s="2" t="n">
        <f aca="false">IF(C896="A",Inputs!$B$7,IF(C896="B",Inputs!$B$8,IF(C896="C",Inputs!$B$9,0)))</f>
        <v>1</v>
      </c>
      <c r="K896" s="2" t="n">
        <f aca="false">IF(AND(E896&lt;&gt;"",G896&lt;&gt;"",J896&gt;0),IF(I896&gt;=Inputs!$B$6,1,0),0)</f>
        <v>1</v>
      </c>
      <c r="L896" s="5" t="n">
        <v>1</v>
      </c>
      <c r="M896" s="5" t="n">
        <v>721.2968</v>
      </c>
      <c r="N896" s="5" t="n">
        <v>3.67</v>
      </c>
      <c r="O896" s="4" t="s">
        <v>64</v>
      </c>
      <c r="P896" s="2" t="n">
        <f aca="false">IF(K896=1,J896/G896^2,0)</f>
        <v>0.512251036775608</v>
      </c>
      <c r="Q896" s="2" t="n">
        <f aca="false">IF(K896=1,((E896-Result!$B$7*D896)/G896)^2,0)</f>
        <v>2.5363037857663</v>
      </c>
    </row>
    <row r="897" customFormat="false" ht="15" hidden="false" customHeight="false" outlineLevel="0" collapsed="false">
      <c r="A897" s="4" t="s">
        <v>38</v>
      </c>
      <c r="B897" s="4" t="s">
        <v>963</v>
      </c>
      <c r="C897" s="4" t="s">
        <v>63</v>
      </c>
      <c r="D897" s="5" t="n">
        <v>764.1555</v>
      </c>
      <c r="E897" s="5" t="n">
        <v>2.988</v>
      </c>
      <c r="F897" s="5" t="n">
        <v>0.00508306100473176</v>
      </c>
      <c r="G897" s="5" t="n">
        <v>1.3972</v>
      </c>
      <c r="H897" s="2" t="n">
        <f aca="false">D897*F897</f>
        <v>3.8842490236013</v>
      </c>
      <c r="I897" s="2" t="n">
        <f aca="false">IF(G897="","",D897*1000000/Inputs!$B$4^2*Inputs!$B$5/G897)</f>
        <v>2.77928503727269</v>
      </c>
      <c r="J897" s="2" t="n">
        <f aca="false">IF(C897="A",Inputs!$B$7,IF(C897="B",Inputs!$B$8,IF(C897="C",Inputs!$B$9,0)))</f>
        <v>1</v>
      </c>
      <c r="K897" s="2" t="n">
        <f aca="false">IF(AND(E897&lt;&gt;"",G897&lt;&gt;"",J897&gt;0),IF(I897&gt;=Inputs!$B$6,1,0),0)</f>
        <v>1</v>
      </c>
      <c r="L897" s="5" t="n">
        <v>0</v>
      </c>
      <c r="M897" s="5" t="n">
        <v>764.1651</v>
      </c>
      <c r="N897" s="5" t="n">
        <v>3.885</v>
      </c>
      <c r="O897" s="4" t="s">
        <v>64</v>
      </c>
      <c r="P897" s="2" t="n">
        <f aca="false">IF(K897=1,J897/G897^2,0)</f>
        <v>0.512251036775608</v>
      </c>
      <c r="Q897" s="2" t="n">
        <f aca="false">IF(K897=1,((E897-Result!$B$7*D897)/G897)^2,0)</f>
        <v>0.391102817683625</v>
      </c>
    </row>
    <row r="898" customFormat="false" ht="15" hidden="false" customHeight="false" outlineLevel="0" collapsed="false">
      <c r="A898" s="4" t="s">
        <v>38</v>
      </c>
      <c r="B898" s="4" t="s">
        <v>964</v>
      </c>
      <c r="C898" s="4" t="s">
        <v>63</v>
      </c>
      <c r="D898" s="5" t="n">
        <v>795.5695</v>
      </c>
      <c r="E898" s="5" t="n">
        <v>3.573</v>
      </c>
      <c r="F898" s="5" t="n">
        <v>0.00508302752963668</v>
      </c>
      <c r="G898" s="5" t="n">
        <v>1.3972</v>
      </c>
      <c r="H898" s="2" t="n">
        <f aca="false">D898*F898</f>
        <v>4.04390167023929</v>
      </c>
      <c r="I898" s="2" t="n">
        <f aca="false">IF(G898="","",D898*1000000/Inputs!$B$4^2*Inputs!$B$5/G898)</f>
        <v>2.89353987174144</v>
      </c>
      <c r="J898" s="2" t="n">
        <f aca="false">IF(C898="A",Inputs!$B$7,IF(C898="B",Inputs!$B$8,IF(C898="C",Inputs!$B$9,0)))</f>
        <v>1</v>
      </c>
      <c r="K898" s="2" t="n">
        <f aca="false">IF(AND(E898&lt;&gt;"",G898&lt;&gt;"",J898&gt;0),IF(I898&gt;=Inputs!$B$6,1,0),0)</f>
        <v>1</v>
      </c>
      <c r="L898" s="5" t="n">
        <v>1</v>
      </c>
      <c r="M898" s="5" t="n">
        <v>795.5792</v>
      </c>
      <c r="N898" s="5" t="n">
        <v>4.045</v>
      </c>
      <c r="O898" s="4" t="s">
        <v>64</v>
      </c>
      <c r="P898" s="2" t="n">
        <f aca="false">IF(K898=1,J898/G898^2,0)</f>
        <v>0.512251036775608</v>
      </c>
      <c r="Q898" s="2" t="n">
        <f aca="false">IF(K898=1,((E898-Result!$B$7*D898)/G898)^2,0)</f>
        <v>0.10259966119246</v>
      </c>
    </row>
    <row r="899" customFormat="false" ht="15" hidden="false" customHeight="false" outlineLevel="0" collapsed="false">
      <c r="A899" s="4" t="s">
        <v>38</v>
      </c>
      <c r="B899" s="4" t="s">
        <v>965</v>
      </c>
      <c r="C899" s="4" t="s">
        <v>63</v>
      </c>
      <c r="D899" s="5" t="n">
        <v>213.683</v>
      </c>
      <c r="E899" s="5" t="n">
        <v>0.66</v>
      </c>
      <c r="F899" s="5" t="n">
        <v>0.00508315476857121</v>
      </c>
      <c r="G899" s="5" t="n">
        <v>1.3972</v>
      </c>
      <c r="H899" s="2" t="n">
        <f aca="false">D899*F899</f>
        <v>1.0861837604126</v>
      </c>
      <c r="I899" s="2" t="n">
        <f aca="false">IF(G899="","",D899*1000000/Inputs!$B$4^2*Inputs!$B$5/G899)</f>
        <v>0.777179467555413</v>
      </c>
      <c r="J899" s="2" t="n">
        <f aca="false">IF(C899="A",Inputs!$B$7,IF(C899="B",Inputs!$B$8,IF(C899="C",Inputs!$B$9,0)))</f>
        <v>1</v>
      </c>
      <c r="K899" s="2" t="n">
        <f aca="false">IF(AND(E899&lt;&gt;"",G899&lt;&gt;"",J899&gt;0),IF(I899&gt;=Inputs!$B$6,1,0),0)</f>
        <v>0</v>
      </c>
      <c r="L899" s="5" t="n">
        <v>1</v>
      </c>
      <c r="M899" s="5" t="n">
        <v>213.6863</v>
      </c>
      <c r="N899" s="5" t="n">
        <v>1.086</v>
      </c>
      <c r="O899" s="4" t="s">
        <v>64</v>
      </c>
      <c r="P899" s="2" t="n">
        <f aca="false">IF(K899=1,J899/G899^2,0)</f>
        <v>0</v>
      </c>
      <c r="Q899" s="2" t="n">
        <f aca="false">IF(K899=1,((E899-Result!$B$7*D899)/G899)^2,0)</f>
        <v>0</v>
      </c>
    </row>
    <row r="900" customFormat="false" ht="15" hidden="false" customHeight="false" outlineLevel="0" collapsed="false">
      <c r="A900" s="4" t="s">
        <v>38</v>
      </c>
      <c r="B900" s="4" t="s">
        <v>966</v>
      </c>
      <c r="C900" s="4" t="s">
        <v>63</v>
      </c>
      <c r="D900" s="5" t="n">
        <v>1148.1015</v>
      </c>
      <c r="E900" s="5" t="n">
        <v>9.004</v>
      </c>
      <c r="F900" s="5" t="n">
        <v>0.00508293977834506</v>
      </c>
      <c r="G900" s="5" t="n">
        <v>1.3972</v>
      </c>
      <c r="H900" s="2" t="n">
        <f aca="false">D900*F900</f>
        <v>5.83573078392763</v>
      </c>
      <c r="I900" s="2" t="n">
        <f aca="false">IF(G900="","",D900*1000000/Inputs!$B$4^2*Inputs!$B$5/G900)</f>
        <v>4.17572250702944</v>
      </c>
      <c r="J900" s="2" t="n">
        <f aca="false">IF(C900="A",Inputs!$B$7,IF(C900="B",Inputs!$B$8,IF(C900="C",Inputs!$B$9,0)))</f>
        <v>1</v>
      </c>
      <c r="K900" s="2" t="n">
        <f aca="false">IF(AND(E900&lt;&gt;"",G900&lt;&gt;"",J900&gt;0),IF(I900&gt;=Inputs!$B$6,1,0),0)</f>
        <v>1</v>
      </c>
      <c r="L900" s="5" t="n">
        <v>0</v>
      </c>
      <c r="M900" s="5" t="n">
        <v>1148.1212</v>
      </c>
      <c r="N900" s="5" t="n">
        <v>5.837</v>
      </c>
      <c r="O900" s="4" t="s">
        <v>64</v>
      </c>
      <c r="P900" s="2" t="n">
        <f aca="false">IF(K900=1,J900/G900^2,0)</f>
        <v>0.512251036775608</v>
      </c>
      <c r="Q900" s="2" t="n">
        <f aca="false">IF(K900=1,((E900-Result!$B$7*D900)/G900)^2,0)</f>
        <v>5.25162439915911</v>
      </c>
    </row>
    <row r="901" customFormat="false" ht="15" hidden="false" customHeight="false" outlineLevel="0" collapsed="false">
      <c r="A901" s="4" t="s">
        <v>38</v>
      </c>
      <c r="B901" s="4" t="s">
        <v>967</v>
      </c>
      <c r="C901" s="4" t="s">
        <v>63</v>
      </c>
      <c r="D901" s="5" t="n">
        <v>710.2056</v>
      </c>
      <c r="E901" s="5" t="n">
        <v>0.168</v>
      </c>
      <c r="F901" s="5" t="n">
        <v>0.00508306087690555</v>
      </c>
      <c r="G901" s="5" t="n">
        <v>1.3972</v>
      </c>
      <c r="H901" s="2" t="n">
        <f aca="false">D901*F901</f>
        <v>3.61001829991923</v>
      </c>
      <c r="I901" s="2" t="n">
        <f aca="false">IF(G901="","",D901*1000000/Inputs!$B$4^2*Inputs!$B$5/G901)</f>
        <v>2.58306561618319</v>
      </c>
      <c r="J901" s="2" t="n">
        <f aca="false">IF(C901="A",Inputs!$B$7,IF(C901="B",Inputs!$B$8,IF(C901="C",Inputs!$B$9,0)))</f>
        <v>1</v>
      </c>
      <c r="K901" s="2" t="n">
        <f aca="false">IF(AND(E901&lt;&gt;"",G901&lt;&gt;"",J901&gt;0),IF(I901&gt;=Inputs!$B$6,1,0),0)</f>
        <v>1</v>
      </c>
      <c r="L901" s="5" t="n">
        <v>0</v>
      </c>
      <c r="M901" s="5" t="n">
        <v>710.217</v>
      </c>
      <c r="N901" s="5" t="n">
        <v>3.611</v>
      </c>
      <c r="O901" s="4" t="s">
        <v>64</v>
      </c>
      <c r="P901" s="2" t="n">
        <f aca="false">IF(K901=1,J901/G901^2,0)</f>
        <v>0.512251036775608</v>
      </c>
      <c r="Q901" s="2" t="n">
        <f aca="false">IF(K901=1,((E901-Result!$B$7*D901)/G901)^2,0)</f>
        <v>5.99548571068875</v>
      </c>
    </row>
    <row r="902" customFormat="false" ht="15" hidden="false" customHeight="false" outlineLevel="0" collapsed="false">
      <c r="A902" s="4" t="s">
        <v>38</v>
      </c>
      <c r="B902" s="4" t="s">
        <v>968</v>
      </c>
      <c r="C902" s="4" t="s">
        <v>63</v>
      </c>
      <c r="D902" s="5" t="n">
        <v>1094.1576</v>
      </c>
      <c r="E902" s="5" t="n">
        <v>6.184</v>
      </c>
      <c r="F902" s="5" t="n">
        <v>0.00508293348821906</v>
      </c>
      <c r="G902" s="5" t="n">
        <v>1.3972</v>
      </c>
      <c r="H902" s="2" t="n">
        <f aca="false">D902*F902</f>
        <v>5.5615303064294</v>
      </c>
      <c r="I902" s="2" t="n">
        <f aca="false">IF(G902="","",D902*1000000/Inputs!$B$4^2*Inputs!$B$5/G902)</f>
        <v>3.97952490834418</v>
      </c>
      <c r="J902" s="2" t="n">
        <f aca="false">IF(C902="A",Inputs!$B$7,IF(C902="B",Inputs!$B$8,IF(C902="C",Inputs!$B$9,0)))</f>
        <v>1</v>
      </c>
      <c r="K902" s="2" t="n">
        <f aca="false">IF(AND(E902&lt;&gt;"",G902&lt;&gt;"",J902&gt;0),IF(I902&gt;=Inputs!$B$6,1,0),0)</f>
        <v>1</v>
      </c>
      <c r="L902" s="5" t="n">
        <v>0</v>
      </c>
      <c r="M902" s="5" t="n">
        <v>1094.1732</v>
      </c>
      <c r="N902" s="5" t="n">
        <v>5.563</v>
      </c>
      <c r="O902" s="4" t="s">
        <v>64</v>
      </c>
      <c r="P902" s="2" t="n">
        <f aca="false">IF(K902=1,J902/G902^2,0)</f>
        <v>0.512251036775608</v>
      </c>
      <c r="Q902" s="2" t="n">
        <f aca="false">IF(K902=1,((E902-Result!$B$7*D902)/G902)^2,0)</f>
        <v>0.219431006744106</v>
      </c>
    </row>
    <row r="903" customFormat="false" ht="15" hidden="false" customHeight="false" outlineLevel="0" collapsed="false">
      <c r="A903" s="4" t="s">
        <v>38</v>
      </c>
      <c r="B903" s="4" t="s">
        <v>969</v>
      </c>
      <c r="C903" s="4" t="s">
        <v>63</v>
      </c>
      <c r="D903" s="5" t="n">
        <v>857.5474</v>
      </c>
      <c r="E903" s="5" t="n">
        <v>5.112</v>
      </c>
      <c r="F903" s="5" t="n">
        <v>0.00508263999646698</v>
      </c>
      <c r="G903" s="5" t="n">
        <v>1.3972</v>
      </c>
      <c r="H903" s="2" t="n">
        <f aca="false">D903*F903</f>
        <v>4.35860471410627</v>
      </c>
      <c r="I903" s="2" t="n">
        <f aca="false">IF(G903="","",D903*1000000/Inputs!$B$4^2*Inputs!$B$5/G903)</f>
        <v>3.11895766970479</v>
      </c>
      <c r="J903" s="2" t="n">
        <f aca="false">IF(C903="A",Inputs!$B$7,IF(C903="B",Inputs!$B$8,IF(C903="C",Inputs!$B$9,0)))</f>
        <v>1</v>
      </c>
      <c r="K903" s="2" t="n">
        <f aca="false">IF(AND(E903&lt;&gt;"",G903&lt;&gt;"",J903&gt;0),IF(I903&gt;=Inputs!$B$6,1,0),0)</f>
        <v>1</v>
      </c>
      <c r="L903" s="5" t="n">
        <v>1</v>
      </c>
      <c r="M903" s="5" t="n">
        <v>857.5603</v>
      </c>
      <c r="N903" s="5" t="n">
        <v>4.36</v>
      </c>
      <c r="O903" s="4" t="s">
        <v>64</v>
      </c>
      <c r="P903" s="2" t="n">
        <f aca="false">IF(K903=1,J903/G903^2,0)</f>
        <v>0.512251036775608</v>
      </c>
      <c r="Q903" s="2" t="n">
        <f aca="false">IF(K903=1,((E903-Result!$B$7*D903)/G903)^2,0)</f>
        <v>0.310252622765043</v>
      </c>
    </row>
    <row r="904" customFormat="false" ht="15" hidden="false" customHeight="false" outlineLevel="0" collapsed="false">
      <c r="A904" s="4" t="s">
        <v>38</v>
      </c>
      <c r="B904" s="4" t="s">
        <v>970</v>
      </c>
      <c r="C904" s="4" t="s">
        <v>63</v>
      </c>
      <c r="D904" s="5" t="n">
        <v>999.9565</v>
      </c>
      <c r="E904" s="5" t="n">
        <v>5.179</v>
      </c>
      <c r="F904" s="5" t="n">
        <v>0.00508270076540256</v>
      </c>
      <c r="G904" s="5" t="n">
        <v>1.3972</v>
      </c>
      <c r="H904" s="2" t="n">
        <f aca="false">D904*F904</f>
        <v>5.08247966791927</v>
      </c>
      <c r="I904" s="2" t="n">
        <f aca="false">IF(G904="","",D904*1000000/Inputs!$B$4^2*Inputs!$B$5/G904)</f>
        <v>3.6369091609935</v>
      </c>
      <c r="J904" s="2" t="n">
        <f aca="false">IF(C904="A",Inputs!$B$7,IF(C904="B",Inputs!$B$8,IF(C904="C",Inputs!$B$9,0)))</f>
        <v>1</v>
      </c>
      <c r="K904" s="2" t="n">
        <f aca="false">IF(AND(E904&lt;&gt;"",G904&lt;&gt;"",J904&gt;0),IF(I904&gt;=Inputs!$B$6,1,0),0)</f>
        <v>1</v>
      </c>
      <c r="L904" s="5" t="n">
        <v>0</v>
      </c>
      <c r="M904" s="5" t="n">
        <v>999.97</v>
      </c>
      <c r="N904" s="5" t="n">
        <v>5.084</v>
      </c>
      <c r="O904" s="4" t="s">
        <v>64</v>
      </c>
      <c r="P904" s="2" t="n">
        <f aca="false">IF(K904=1,J904/G904^2,0)</f>
        <v>0.512251036775608</v>
      </c>
      <c r="Q904" s="2" t="n">
        <f aca="false">IF(K904=1,((E904-Result!$B$7*D904)/G904)^2,0)</f>
        <v>0.00807546749812394</v>
      </c>
    </row>
    <row r="905" customFormat="false" ht="15" hidden="false" customHeight="false" outlineLevel="0" collapsed="false">
      <c r="A905" s="4" t="s">
        <v>38</v>
      </c>
      <c r="B905" s="4" t="s">
        <v>971</v>
      </c>
      <c r="C905" s="4" t="s">
        <v>63</v>
      </c>
      <c r="D905" s="5" t="n">
        <v>968.1192</v>
      </c>
      <c r="E905" s="5" t="n">
        <v>3.583</v>
      </c>
      <c r="F905" s="5" t="n">
        <v>0.00508291973651885</v>
      </c>
      <c r="G905" s="5" t="n">
        <v>1.3972</v>
      </c>
      <c r="H905" s="2" t="n">
        <f aca="false">D905*F905</f>
        <v>4.92087218898284</v>
      </c>
      <c r="I905" s="2" t="n">
        <f aca="false">IF(G905="","",D905*1000000/Inputs!$B$4^2*Inputs!$B$5/G905)</f>
        <v>3.52111475590558</v>
      </c>
      <c r="J905" s="2" t="n">
        <f aca="false">IF(C905="A",Inputs!$B$7,IF(C905="B",Inputs!$B$8,IF(C905="C",Inputs!$B$9,0)))</f>
        <v>1</v>
      </c>
      <c r="K905" s="2" t="n">
        <f aca="false">IF(AND(E905&lt;&gt;"",G905&lt;&gt;"",J905&gt;0),IF(I905&gt;=Inputs!$B$6,1,0),0)</f>
        <v>1</v>
      </c>
      <c r="L905" s="5" t="n">
        <v>0</v>
      </c>
      <c r="M905" s="5" t="n">
        <v>968.1363</v>
      </c>
      <c r="N905" s="5" t="n">
        <v>4.922</v>
      </c>
      <c r="O905" s="4" t="s">
        <v>64</v>
      </c>
      <c r="P905" s="2" t="n">
        <f aca="false">IF(K905=1,J905/G905^2,0)</f>
        <v>0.512251036775608</v>
      </c>
      <c r="Q905" s="2" t="n">
        <f aca="false">IF(K905=1,((E905-Result!$B$7*D905)/G905)^2,0)</f>
        <v>0.878466950799749</v>
      </c>
    </row>
    <row r="906" customFormat="false" ht="15" hidden="false" customHeight="false" outlineLevel="0" collapsed="false">
      <c r="A906" s="4" t="s">
        <v>38</v>
      </c>
      <c r="B906" s="4" t="s">
        <v>972</v>
      </c>
      <c r="C906" s="4" t="s">
        <v>63</v>
      </c>
      <c r="D906" s="5" t="n">
        <v>1897.2576</v>
      </c>
      <c r="E906" s="5" t="n">
        <v>8.463</v>
      </c>
      <c r="F906" s="5" t="n">
        <v>0.00508280857806743</v>
      </c>
      <c r="G906" s="5" t="n">
        <v>1.3972</v>
      </c>
      <c r="H906" s="2" t="n">
        <f aca="false">D906*F906</f>
        <v>9.64339720408363</v>
      </c>
      <c r="I906" s="2" t="n">
        <f aca="false">IF(G906="","",D906*1000000/Inputs!$B$4^2*Inputs!$B$5/G906)</f>
        <v>6.90045371594119</v>
      </c>
      <c r="J906" s="2" t="n">
        <f aca="false">IF(C906="A",Inputs!$B$7,IF(C906="B",Inputs!$B$8,IF(C906="C",Inputs!$B$9,0)))</f>
        <v>1</v>
      </c>
      <c r="K906" s="2" t="n">
        <f aca="false">IF(AND(E906&lt;&gt;"",G906&lt;&gt;"",J906&gt;0),IF(I906&gt;=Inputs!$B$6,1,0),0)</f>
        <v>1</v>
      </c>
      <c r="L906" s="5" t="n">
        <v>0</v>
      </c>
      <c r="M906" s="5" t="n">
        <v>1897.2965</v>
      </c>
      <c r="N906" s="5" t="n">
        <v>9.646</v>
      </c>
      <c r="O906" s="4" t="s">
        <v>64</v>
      </c>
      <c r="P906" s="2" t="n">
        <f aca="false">IF(K906=1,J906/G906^2,0)</f>
        <v>0.512251036775608</v>
      </c>
      <c r="Q906" s="2" t="n">
        <f aca="false">IF(K906=1,((E906-Result!$B$7*D906)/G906)^2,0)</f>
        <v>0.648432296005273</v>
      </c>
    </row>
    <row r="907" customFormat="false" ht="15" hidden="false" customHeight="false" outlineLevel="0" collapsed="false">
      <c r="A907" s="4" t="s">
        <v>38</v>
      </c>
      <c r="B907" s="4" t="s">
        <v>973</v>
      </c>
      <c r="C907" s="4" t="s">
        <v>63</v>
      </c>
      <c r="D907" s="5" t="n">
        <v>70.8067</v>
      </c>
      <c r="E907" s="5" t="n">
        <v>0.299</v>
      </c>
      <c r="F907" s="5" t="n">
        <v>0.00508280844984132</v>
      </c>
      <c r="G907" s="5" t="n">
        <v>1.3972</v>
      </c>
      <c r="H907" s="2" t="n">
        <f aca="false">D907*F907</f>
        <v>0.359896893065379</v>
      </c>
      <c r="I907" s="2" t="n">
        <f aca="false">IF(G907="","",D907*1000000/Inputs!$B$4^2*Inputs!$B$5/G907)</f>
        <v>0.257528738389839</v>
      </c>
      <c r="J907" s="2" t="n">
        <f aca="false">IF(C907="A",Inputs!$B$7,IF(C907="B",Inputs!$B$8,IF(C907="C",Inputs!$B$9,0)))</f>
        <v>1</v>
      </c>
      <c r="K907" s="2" t="n">
        <f aca="false">IF(AND(E907&lt;&gt;"",G907&lt;&gt;"",J907&gt;0),IF(I907&gt;=Inputs!$B$6,1,0),0)</f>
        <v>0</v>
      </c>
      <c r="L907" s="5" t="n">
        <v>0</v>
      </c>
      <c r="M907" s="5" t="n">
        <v>70.8098</v>
      </c>
      <c r="N907" s="5" t="n">
        <v>0.36</v>
      </c>
      <c r="O907" s="4" t="s">
        <v>64</v>
      </c>
      <c r="P907" s="2" t="n">
        <f aca="false">IF(K907=1,J907/G907^2,0)</f>
        <v>0</v>
      </c>
      <c r="Q907" s="2" t="n">
        <f aca="false">IF(K907=1,((E907-Result!$B$7*D907)/G907)^2,0)</f>
        <v>0</v>
      </c>
    </row>
    <row r="908" customFormat="false" ht="15" hidden="false" customHeight="false" outlineLevel="0" collapsed="false">
      <c r="A908" s="4" t="s">
        <v>38</v>
      </c>
      <c r="B908" s="4" t="s">
        <v>974</v>
      </c>
      <c r="C908" s="4" t="s">
        <v>63</v>
      </c>
      <c r="D908" s="5" t="n">
        <v>766.416</v>
      </c>
      <c r="E908" s="5" t="n">
        <v>3.352</v>
      </c>
      <c r="F908" s="5" t="n">
        <v>0.00508304099312791</v>
      </c>
      <c r="G908" s="5" t="n">
        <v>1.3972</v>
      </c>
      <c r="H908" s="2" t="n">
        <f aca="false">D908*F908</f>
        <v>3.89572394578912</v>
      </c>
      <c r="I908" s="2" t="n">
        <f aca="false">IF(G908="","",D908*1000000/Inputs!$B$4^2*Inputs!$B$5/G908)</f>
        <v>2.78750662807032</v>
      </c>
      <c r="J908" s="2" t="n">
        <f aca="false">IF(C908="A",Inputs!$B$7,IF(C908="B",Inputs!$B$8,IF(C908="C",Inputs!$B$9,0)))</f>
        <v>1</v>
      </c>
      <c r="K908" s="2" t="n">
        <f aca="false">IF(AND(E908&lt;&gt;"",G908&lt;&gt;"",J908&gt;0),IF(I908&gt;=Inputs!$B$6,1,0),0)</f>
        <v>1</v>
      </c>
      <c r="L908" s="5" t="n">
        <v>1</v>
      </c>
      <c r="M908" s="5" t="n">
        <v>766.4283</v>
      </c>
      <c r="N908" s="5" t="n">
        <v>3.896</v>
      </c>
      <c r="O908" s="4" t="s">
        <v>64</v>
      </c>
      <c r="P908" s="2" t="n">
        <f aca="false">IF(K908=1,J908/G908^2,0)</f>
        <v>0.512251036775608</v>
      </c>
      <c r="Q908" s="2" t="n">
        <f aca="false">IF(K908=1,((E908-Result!$B$7*D908)/G908)^2,0)</f>
        <v>0.13915683283879</v>
      </c>
    </row>
    <row r="909" customFormat="false" ht="15" hidden="false" customHeight="false" outlineLevel="0" collapsed="false">
      <c r="A909" s="4" t="s">
        <v>38</v>
      </c>
      <c r="B909" s="4" t="s">
        <v>975</v>
      </c>
      <c r="C909" s="4" t="s">
        <v>63</v>
      </c>
      <c r="D909" s="5" t="n">
        <v>640.3844</v>
      </c>
      <c r="E909" s="5" t="n">
        <v>0.751</v>
      </c>
      <c r="F909" s="5" t="n">
        <v>0.00508304086526966</v>
      </c>
      <c r="G909" s="5" t="n">
        <v>1.3972</v>
      </c>
      <c r="H909" s="2" t="n">
        <f aca="false">D909*F909</f>
        <v>3.25510007468119</v>
      </c>
      <c r="I909" s="2" t="n">
        <f aca="false">IF(G909="","",D909*1000000/Inputs!$B$4^2*Inputs!$B$5/G909)</f>
        <v>2.32912120768986</v>
      </c>
      <c r="J909" s="2" t="n">
        <f aca="false">IF(C909="A",Inputs!$B$7,IF(C909="B",Inputs!$B$8,IF(C909="C",Inputs!$B$9,0)))</f>
        <v>1</v>
      </c>
      <c r="K909" s="2" t="n">
        <f aca="false">IF(AND(E909&lt;&gt;"",G909&lt;&gt;"",J909&gt;0),IF(I909&gt;=Inputs!$B$6,1,0),0)</f>
        <v>1</v>
      </c>
      <c r="L909" s="5" t="n">
        <v>0</v>
      </c>
      <c r="M909" s="5" t="n">
        <v>640.3915</v>
      </c>
      <c r="N909" s="5" t="n">
        <v>3.256</v>
      </c>
      <c r="O909" s="4" t="s">
        <v>64</v>
      </c>
      <c r="P909" s="2" t="n">
        <f aca="false">IF(K909=1,J909/G909^2,0)</f>
        <v>0.512251036775608</v>
      </c>
      <c r="Q909" s="2" t="n">
        <f aca="false">IF(K909=1,((E909-Result!$B$7*D909)/G909)^2,0)</f>
        <v>3.16399501883422</v>
      </c>
    </row>
    <row r="910" customFormat="false" ht="15" hidden="false" customHeight="false" outlineLevel="0" collapsed="false">
      <c r="A910" s="4" t="s">
        <v>38</v>
      </c>
      <c r="B910" s="4" t="s">
        <v>976</v>
      </c>
      <c r="C910" s="4" t="s">
        <v>63</v>
      </c>
      <c r="D910" s="5" t="n">
        <v>556.9632</v>
      </c>
      <c r="E910" s="5" t="n">
        <v>0.539</v>
      </c>
      <c r="F910" s="5" t="n">
        <v>0.00508258839334989</v>
      </c>
      <c r="G910" s="5" t="n">
        <v>1.3972</v>
      </c>
      <c r="H910" s="2" t="n">
        <f aca="false">D910*F910</f>
        <v>2.83081469584301</v>
      </c>
      <c r="I910" s="2" t="n">
        <f aca="false">IF(G910="","",D910*1000000/Inputs!$B$4^2*Inputs!$B$5/G910)</f>
        <v>2.02571268291796</v>
      </c>
      <c r="J910" s="2" t="n">
        <f aca="false">IF(C910="A",Inputs!$B$7,IF(C910="B",Inputs!$B$8,IF(C910="C",Inputs!$B$9,0)))</f>
        <v>1</v>
      </c>
      <c r="K910" s="2" t="n">
        <f aca="false">IF(AND(E910&lt;&gt;"",G910&lt;&gt;"",J910&gt;0),IF(I910&gt;=Inputs!$B$6,1,0),0)</f>
        <v>1</v>
      </c>
      <c r="L910" s="5" t="n">
        <v>1</v>
      </c>
      <c r="M910" s="5" t="n">
        <v>556.9734</v>
      </c>
      <c r="N910" s="5" t="n">
        <v>2.832</v>
      </c>
      <c r="O910" s="4" t="s">
        <v>64</v>
      </c>
      <c r="P910" s="2" t="n">
        <f aca="false">IF(K910=1,J910/G910^2,0)</f>
        <v>0.512251036775608</v>
      </c>
      <c r="Q910" s="2" t="n">
        <f aca="false">IF(K910=1,((E910-Result!$B$7*D910)/G910)^2,0)</f>
        <v>2.65286033378</v>
      </c>
    </row>
    <row r="911" customFormat="false" ht="15" hidden="false" customHeight="false" outlineLevel="0" collapsed="false">
      <c r="A911" s="4" t="s">
        <v>38</v>
      </c>
      <c r="B911" s="4" t="s">
        <v>977</v>
      </c>
      <c r="C911" s="4" t="s">
        <v>81</v>
      </c>
      <c r="D911" s="5" t="n">
        <v>1010.7592</v>
      </c>
      <c r="E911" s="5" t="n">
        <v>6.558</v>
      </c>
      <c r="F911" s="5" t="n">
        <v>0.00508269984913821</v>
      </c>
      <c r="G911" s="5" t="n">
        <v>1.3972</v>
      </c>
      <c r="H911" s="2" t="n">
        <f aca="false">D911*F911</f>
        <v>5.13738563335505</v>
      </c>
      <c r="I911" s="2" t="n">
        <f aca="false">IF(G911="","",D911*1000000/Inputs!$B$4^2*Inputs!$B$5/G911)</f>
        <v>3.67619930870839</v>
      </c>
      <c r="J911" s="2" t="n">
        <f aca="false">IF(C911="A",Inputs!$B$7,IF(C911="B",Inputs!$B$8,IF(C911="C",Inputs!$B$9,0)))</f>
        <v>0.25</v>
      </c>
      <c r="K911" s="2" t="n">
        <f aca="false">IF(AND(E911&lt;&gt;"",G911&lt;&gt;"",J911&gt;0),IF(I911&gt;=Inputs!$B$6,1,0),0)</f>
        <v>1</v>
      </c>
      <c r="L911" s="5" t="n">
        <v>0</v>
      </c>
      <c r="M911" s="5" t="n">
        <v>1010.7592</v>
      </c>
      <c r="N911" s="5" t="n">
        <v>5.139</v>
      </c>
      <c r="O911" s="4" t="s">
        <v>64</v>
      </c>
      <c r="P911" s="2" t="n">
        <f aca="false">IF(K911=1,J911/G911^2,0)</f>
        <v>0.128062759193902</v>
      </c>
      <c r="Q911" s="2" t="n">
        <f aca="false">IF(K911=1,((E911-Result!$B$7*D911)/G911)^2,0)</f>
        <v>1.07695466813354</v>
      </c>
    </row>
    <row r="912" customFormat="false" ht="15" hidden="false" customHeight="false" outlineLevel="0" collapsed="false">
      <c r="A912" s="4" t="s">
        <v>38</v>
      </c>
      <c r="B912" s="4" t="s">
        <v>978</v>
      </c>
      <c r="C912" s="4" t="s">
        <v>63</v>
      </c>
      <c r="D912" s="5" t="n">
        <v>567.7578</v>
      </c>
      <c r="E912" s="5" t="n">
        <v>1.918</v>
      </c>
      <c r="F912" s="5" t="n">
        <v>0.00508258826478258</v>
      </c>
      <c r="G912" s="5" t="n">
        <v>1.3972</v>
      </c>
      <c r="H912" s="2" t="n">
        <f aca="false">D912*F912</f>
        <v>2.88567913151877</v>
      </c>
      <c r="I912" s="2" t="n">
        <f aca="false">IF(G912="","",D912*1000000/Inputs!$B$4^2*Inputs!$B$5/G912)</f>
        <v>2.06497337038713</v>
      </c>
      <c r="J912" s="2" t="n">
        <f aca="false">IF(C912="A",Inputs!$B$7,IF(C912="B",Inputs!$B$8,IF(C912="C",Inputs!$B$9,0)))</f>
        <v>1</v>
      </c>
      <c r="K912" s="2" t="n">
        <f aca="false">IF(AND(E912&lt;&gt;"",G912&lt;&gt;"",J912&gt;0),IF(I912&gt;=Inputs!$B$6,1,0),0)</f>
        <v>1</v>
      </c>
      <c r="L912" s="5" t="n">
        <v>0</v>
      </c>
      <c r="M912" s="5" t="n">
        <v>567.7626</v>
      </c>
      <c r="N912" s="5" t="n">
        <v>2.887</v>
      </c>
      <c r="O912" s="4" t="s">
        <v>64</v>
      </c>
      <c r="P912" s="2" t="n">
        <f aca="false">IF(K912=1,J912/G912^2,0)</f>
        <v>0.512251036775608</v>
      </c>
      <c r="Q912" s="2" t="n">
        <f aca="false">IF(K912=1,((E912-Result!$B$7*D912)/G912)^2,0)</f>
        <v>0.463530047580016</v>
      </c>
    </row>
    <row r="913" customFormat="false" ht="15" hidden="false" customHeight="false" outlineLevel="0" collapsed="false">
      <c r="A913" s="4" t="s">
        <v>38</v>
      </c>
      <c r="B913" s="4" t="s">
        <v>979</v>
      </c>
      <c r="C913" s="4" t="s">
        <v>63</v>
      </c>
      <c r="D913" s="5" t="n">
        <v>2456.9536</v>
      </c>
      <c r="E913" s="5" t="n">
        <v>10.457</v>
      </c>
      <c r="F913" s="5" t="n">
        <v>0.00508280766300157</v>
      </c>
      <c r="G913" s="5" t="n">
        <v>1.3972</v>
      </c>
      <c r="H913" s="2" t="n">
        <f aca="false">D913*F913</f>
        <v>12.4882225857193</v>
      </c>
      <c r="I913" s="2" t="n">
        <f aca="false">IF(G913="","",D913*1000000/Inputs!$B$4^2*Inputs!$B$5/G913)</f>
        <v>8.93610577657724</v>
      </c>
      <c r="J913" s="2" t="n">
        <f aca="false">IF(C913="A",Inputs!$B$7,IF(C913="B",Inputs!$B$8,IF(C913="C",Inputs!$B$9,0)))</f>
        <v>1</v>
      </c>
      <c r="K913" s="2" t="n">
        <f aca="false">IF(AND(E913&lt;&gt;"",G913&lt;&gt;"",J913&gt;0),IF(I913&gt;=Inputs!$B$6,1,0),0)</f>
        <v>1</v>
      </c>
      <c r="L913" s="5" t="n">
        <v>1</v>
      </c>
      <c r="M913" s="5" t="n">
        <v>2457.0107</v>
      </c>
      <c r="N913" s="5" t="n">
        <v>12.491</v>
      </c>
      <c r="O913" s="4" t="s">
        <v>64</v>
      </c>
      <c r="P913" s="2" t="n">
        <f aca="false">IF(K913=1,J913/G913^2,0)</f>
        <v>0.512251036775608</v>
      </c>
      <c r="Q913" s="2" t="n">
        <f aca="false">IF(K913=1,((E913-Result!$B$7*D913)/G913)^2,0)</f>
        <v>1.96708864273474</v>
      </c>
    </row>
    <row r="914" customFormat="false" ht="15" hidden="false" customHeight="false" outlineLevel="0" collapsed="false">
      <c r="A914" s="4" t="s">
        <v>38</v>
      </c>
      <c r="B914" s="4" t="s">
        <v>980</v>
      </c>
      <c r="C914" s="4" t="s">
        <v>63</v>
      </c>
      <c r="D914" s="5" t="n">
        <v>478.1094</v>
      </c>
      <c r="E914" s="5" t="n">
        <v>0.316</v>
      </c>
      <c r="F914" s="5" t="n">
        <v>0.00508280753477402</v>
      </c>
      <c r="G914" s="5" t="n">
        <v>1.3972</v>
      </c>
      <c r="H914" s="2" t="n">
        <f aca="false">D914*F914</f>
        <v>2.43013806076629</v>
      </c>
      <c r="I914" s="2" t="n">
        <f aca="false">IF(G914="","",D914*1000000/Inputs!$B$4^2*Inputs!$B$5/G914)</f>
        <v>1.73891609966744</v>
      </c>
      <c r="J914" s="2" t="n">
        <f aca="false">IF(C914="A",Inputs!$B$7,IF(C914="B",Inputs!$B$8,IF(C914="C",Inputs!$B$9,0)))</f>
        <v>1</v>
      </c>
      <c r="K914" s="2" t="n">
        <f aca="false">IF(AND(E914&lt;&gt;"",G914&lt;&gt;"",J914&gt;0),IF(I914&gt;=Inputs!$B$6,1,0),0)</f>
        <v>0</v>
      </c>
      <c r="L914" s="5" t="n">
        <v>0</v>
      </c>
      <c r="M914" s="5" t="n">
        <v>478.1151</v>
      </c>
      <c r="N914" s="5" t="n">
        <v>2.431</v>
      </c>
      <c r="O914" s="4" t="s">
        <v>64</v>
      </c>
      <c r="P914" s="2" t="n">
        <f aca="false">IF(K914=1,J914/G914^2,0)</f>
        <v>0</v>
      </c>
      <c r="Q914" s="2" t="n">
        <f aca="false">IF(K914=1,((E914-Result!$B$7*D914)/G914)^2,0)</f>
        <v>0</v>
      </c>
    </row>
    <row r="915" customFormat="false" ht="15" hidden="false" customHeight="false" outlineLevel="0" collapsed="false">
      <c r="A915" s="4" t="s">
        <v>38</v>
      </c>
      <c r="B915" s="4" t="s">
        <v>981</v>
      </c>
      <c r="C915" s="4" t="s">
        <v>63</v>
      </c>
      <c r="D915" s="5" t="n">
        <v>1116.6696</v>
      </c>
      <c r="E915" s="5" t="n">
        <v>2.533</v>
      </c>
      <c r="F915" s="5" t="n">
        <v>0.00508269622383186</v>
      </c>
      <c r="G915" s="5" t="n">
        <v>1.3972</v>
      </c>
      <c r="H915" s="2" t="n">
        <f aca="false">D915*F915</f>
        <v>5.67569235918784</v>
      </c>
      <c r="I915" s="2" t="n">
        <f aca="false">IF(G915="","",D915*1000000/Inputs!$B$4^2*Inputs!$B$5/G915)</f>
        <v>4.0614025690547</v>
      </c>
      <c r="J915" s="2" t="n">
        <f aca="false">IF(C915="A",Inputs!$B$7,IF(C915="B",Inputs!$B$8,IF(C915="C",Inputs!$B$9,0)))</f>
        <v>1</v>
      </c>
      <c r="K915" s="2" t="n">
        <f aca="false">IF(AND(E915&lt;&gt;"",G915&lt;&gt;"",J915&gt;0),IF(I915&gt;=Inputs!$B$6,1,0),0)</f>
        <v>1</v>
      </c>
      <c r="L915" s="5" t="n">
        <v>0</v>
      </c>
      <c r="M915" s="5" t="n">
        <v>1116.6875</v>
      </c>
      <c r="N915" s="5" t="n">
        <v>5.677</v>
      </c>
      <c r="O915" s="4" t="s">
        <v>64</v>
      </c>
      <c r="P915" s="2" t="n">
        <f aca="false">IF(K915=1,J915/G915^2,0)</f>
        <v>0.512251036775608</v>
      </c>
      <c r="Q915" s="2" t="n">
        <f aca="false">IF(K915=1,((E915-Result!$B$7*D915)/G915)^2,0)</f>
        <v>4.95540731447596</v>
      </c>
    </row>
    <row r="916" customFormat="false" ht="15" hidden="false" customHeight="false" outlineLevel="0" collapsed="false">
      <c r="A916" s="4" t="s">
        <v>38</v>
      </c>
      <c r="B916" s="4" t="s">
        <v>982</v>
      </c>
      <c r="C916" s="4" t="s">
        <v>63</v>
      </c>
      <c r="D916" s="5" t="n">
        <v>736.4572</v>
      </c>
      <c r="E916" s="5" t="n">
        <v>3.624</v>
      </c>
      <c r="F916" s="5" t="n">
        <v>0.00508289625862572</v>
      </c>
      <c r="G916" s="5" t="n">
        <v>1.3972</v>
      </c>
      <c r="H916" s="2" t="n">
        <f aca="false">D916*F916</f>
        <v>3.74333554651797</v>
      </c>
      <c r="I916" s="2" t="n">
        <f aca="false">IF(G916="","",D916*1000000/Inputs!$B$4^2*Inputs!$B$5/G916)</f>
        <v>2.67854445404337</v>
      </c>
      <c r="J916" s="2" t="n">
        <f aca="false">IF(C916="A",Inputs!$B$7,IF(C916="B",Inputs!$B$8,IF(C916="C",Inputs!$B$9,0)))</f>
        <v>1</v>
      </c>
      <c r="K916" s="2" t="n">
        <f aca="false">IF(AND(E916&lt;&gt;"",G916&lt;&gt;"",J916&gt;0),IF(I916&gt;=Inputs!$B$6,1,0),0)</f>
        <v>1</v>
      </c>
      <c r="L916" s="5" t="n">
        <v>0</v>
      </c>
      <c r="M916" s="5" t="n">
        <v>736.4659</v>
      </c>
      <c r="N916" s="5" t="n">
        <v>3.744</v>
      </c>
      <c r="O916" s="4" t="s">
        <v>64</v>
      </c>
      <c r="P916" s="2" t="n">
        <f aca="false">IF(K916=1,J916/G916^2,0)</f>
        <v>0.512251036775608</v>
      </c>
      <c r="Q916" s="2" t="n">
        <f aca="false">IF(K916=1,((E916-Result!$B$7*D916)/G916)^2,0)</f>
        <v>0.00490020690236829</v>
      </c>
    </row>
    <row r="917" customFormat="false" ht="15" hidden="false" customHeight="false" outlineLevel="0" collapsed="false">
      <c r="A917" s="4" t="s">
        <v>38</v>
      </c>
      <c r="B917" s="4" t="s">
        <v>983</v>
      </c>
      <c r="C917" s="4" t="s">
        <v>63</v>
      </c>
      <c r="D917" s="5" t="n">
        <v>661.93</v>
      </c>
      <c r="E917" s="5" t="n">
        <v>2.198</v>
      </c>
      <c r="F917" s="5" t="n">
        <v>0.00508267630818464</v>
      </c>
      <c r="G917" s="5" t="n">
        <v>1.3972</v>
      </c>
      <c r="H917" s="2" t="n">
        <f aca="false">D917*F917</f>
        <v>3.36437592867666</v>
      </c>
      <c r="I917" s="2" t="n">
        <f aca="false">IF(G917="","",D917*1000000/Inputs!$B$4^2*Inputs!$B$5/G917)</f>
        <v>2.40748400649071</v>
      </c>
      <c r="J917" s="2" t="n">
        <f aca="false">IF(C917="A",Inputs!$B$7,IF(C917="B",Inputs!$B$8,IF(C917="C",Inputs!$B$9,0)))</f>
        <v>1</v>
      </c>
      <c r="K917" s="2" t="n">
        <f aca="false">IF(AND(E917&lt;&gt;"",G917&lt;&gt;"",J917&gt;0),IF(I917&gt;=Inputs!$B$6,1,0),0)</f>
        <v>1</v>
      </c>
      <c r="L917" s="5" t="n">
        <v>0</v>
      </c>
      <c r="M917" s="5" t="n">
        <v>661.9366</v>
      </c>
      <c r="N917" s="5" t="n">
        <v>3.365</v>
      </c>
      <c r="O917" s="4" t="s">
        <v>64</v>
      </c>
      <c r="P917" s="2" t="n">
        <f aca="false">IF(K917=1,J917/G917^2,0)</f>
        <v>0.512251036775608</v>
      </c>
      <c r="Q917" s="2" t="n">
        <f aca="false">IF(K917=1,((E917-Result!$B$7*D917)/G917)^2,0)</f>
        <v>0.674122745262553</v>
      </c>
    </row>
    <row r="918" customFormat="false" ht="15" hidden="false" customHeight="false" outlineLevel="0" collapsed="false">
      <c r="A918" s="4" t="s">
        <v>38</v>
      </c>
      <c r="B918" s="4" t="s">
        <v>984</v>
      </c>
      <c r="C918" s="4" t="s">
        <v>63</v>
      </c>
      <c r="D918" s="5" t="n">
        <v>920.274</v>
      </c>
      <c r="E918" s="5" t="n">
        <v>5.506</v>
      </c>
      <c r="F918" s="5" t="n">
        <v>0.00508278415280492</v>
      </c>
      <c r="G918" s="5" t="n">
        <v>1.3972</v>
      </c>
      <c r="H918" s="2" t="n">
        <f aca="false">D918*F918</f>
        <v>4.6775541034384</v>
      </c>
      <c r="I918" s="2" t="n">
        <f aca="false">IF(G918="","",D918*1000000/Inputs!$B$4^2*Inputs!$B$5/G918)</f>
        <v>3.34709854001062</v>
      </c>
      <c r="J918" s="2" t="n">
        <f aca="false">IF(C918="A",Inputs!$B$7,IF(C918="B",Inputs!$B$8,IF(C918="C",Inputs!$B$9,0)))</f>
        <v>1</v>
      </c>
      <c r="K918" s="2" t="n">
        <f aca="false">IF(AND(E918&lt;&gt;"",G918&lt;&gt;"",J918&gt;0),IF(I918&gt;=Inputs!$B$6,1,0),0)</f>
        <v>1</v>
      </c>
      <c r="L918" s="5" t="n">
        <v>1</v>
      </c>
      <c r="M918" s="5" t="n">
        <v>920.2874</v>
      </c>
      <c r="N918" s="5" t="n">
        <v>4.679</v>
      </c>
      <c r="O918" s="4" t="s">
        <v>64</v>
      </c>
      <c r="P918" s="2" t="n">
        <f aca="false">IF(K918=1,J918/G918^2,0)</f>
        <v>0.512251036775608</v>
      </c>
      <c r="Q918" s="2" t="n">
        <f aca="false">IF(K918=1,((E918-Result!$B$7*D918)/G918)^2,0)</f>
        <v>0.374683726589537</v>
      </c>
    </row>
    <row r="919" customFormat="false" ht="15" hidden="false" customHeight="false" outlineLevel="0" collapsed="false">
      <c r="A919" s="4" t="s">
        <v>38</v>
      </c>
      <c r="B919" s="4" t="s">
        <v>985</v>
      </c>
      <c r="C919" s="4"/>
      <c r="D919" s="5" t="n">
        <v>1480.3718</v>
      </c>
      <c r="E919" s="5"/>
      <c r="F919" s="5" t="n">
        <v>0.00508304727484291</v>
      </c>
      <c r="G919" s="5" t="n">
        <v>1.3972</v>
      </c>
      <c r="H919" s="2" t="n">
        <f aca="false">D919*F919</f>
        <v>7.5247998437443</v>
      </c>
      <c r="I919" s="2" t="n">
        <f aca="false">IF(G919="","",D919*1000000/Inputs!$B$4^2*Inputs!$B$5/G919)</f>
        <v>5.38421197431732</v>
      </c>
      <c r="J919" s="2" t="n">
        <f aca="false">IF(C919="A",Inputs!$B$7,IF(C919="B",Inputs!$B$8,IF(C919="C",Inputs!$B$9,0)))</f>
        <v>0</v>
      </c>
      <c r="K919" s="2" t="n">
        <f aca="false">IF(AND(E919&lt;&gt;"",G919&lt;&gt;"",J919&gt;0),IF(I919&gt;=Inputs!$B$6,1,0),0)</f>
        <v>0</v>
      </c>
      <c r="L919" s="5" t="n">
        <v>0</v>
      </c>
      <c r="M919" s="5" t="n">
        <v>1480.3718</v>
      </c>
      <c r="N919" s="5" t="n">
        <v>7.526</v>
      </c>
      <c r="O919" s="4" t="s">
        <v>64</v>
      </c>
      <c r="P919" s="2" t="n">
        <f aca="false">IF(K919=1,J919/G919^2,0)</f>
        <v>0</v>
      </c>
      <c r="Q919" s="2" t="n">
        <f aca="false">IF(K919=1,((E919-Result!$B$7*D919)/G919)^2,0)</f>
        <v>0</v>
      </c>
    </row>
    <row r="920" customFormat="false" ht="15" hidden="false" customHeight="false" outlineLevel="0" collapsed="false">
      <c r="A920" s="4" t="s">
        <v>38</v>
      </c>
      <c r="B920" s="4" t="s">
        <v>986</v>
      </c>
      <c r="C920" s="4"/>
      <c r="D920" s="5" t="n">
        <v>1300.3869</v>
      </c>
      <c r="E920" s="5"/>
      <c r="F920" s="5" t="n">
        <v>0.00508304714699471</v>
      </c>
      <c r="G920" s="5" t="n">
        <v>1.3972</v>
      </c>
      <c r="H920" s="2" t="n">
        <f aca="false">D920*F920</f>
        <v>6.6099279220343</v>
      </c>
      <c r="I920" s="2" t="n">
        <f aca="false">IF(G920="","",D920*1000000/Inputs!$B$4^2*Inputs!$B$5/G920)</f>
        <v>4.7295947668183</v>
      </c>
      <c r="J920" s="2" t="n">
        <f aca="false">IF(C920="A",Inputs!$B$7,IF(C920="B",Inputs!$B$8,IF(C920="C",Inputs!$B$9,0)))</f>
        <v>0</v>
      </c>
      <c r="K920" s="2" t="n">
        <f aca="false">IF(AND(E920&lt;&gt;"",G920&lt;&gt;"",J920&gt;0),IF(I920&gt;=Inputs!$B$6,1,0),0)</f>
        <v>0</v>
      </c>
      <c r="L920" s="5" t="n">
        <v>0</v>
      </c>
      <c r="M920" s="5" t="n">
        <v>1300.3869</v>
      </c>
      <c r="N920" s="5" t="n">
        <v>6.611</v>
      </c>
      <c r="O920" s="4" t="s">
        <v>64</v>
      </c>
      <c r="P920" s="2" t="n">
        <f aca="false">IF(K920=1,J920/G920^2,0)</f>
        <v>0</v>
      </c>
      <c r="Q920" s="2" t="n">
        <f aca="false">IF(K920=1,((E920-Result!$B$7*D920)/G920)^2,0)</f>
        <v>0</v>
      </c>
    </row>
    <row r="921" customFormat="false" ht="15" hidden="false" customHeight="false" outlineLevel="0" collapsed="false">
      <c r="A921" s="4" t="s">
        <v>38</v>
      </c>
      <c r="B921" s="4" t="s">
        <v>987</v>
      </c>
      <c r="C921" s="4"/>
      <c r="D921" s="5" t="n">
        <v>50.2216</v>
      </c>
      <c r="E921" s="5"/>
      <c r="F921" s="5" t="n">
        <v>0.00508316821051662</v>
      </c>
      <c r="G921" s="5" t="n">
        <v>1.3972</v>
      </c>
      <c r="H921" s="2" t="n">
        <f aca="false">D921*F921</f>
        <v>0.255284840601282</v>
      </c>
      <c r="I921" s="2" t="n">
        <f aca="false">IF(G921="","",D921*1000000/Inputs!$B$4^2*Inputs!$B$5/G921)</f>
        <v>0.182659342801163</v>
      </c>
      <c r="J921" s="2" t="n">
        <f aca="false">IF(C921="A",Inputs!$B$7,IF(C921="B",Inputs!$B$8,IF(C921="C",Inputs!$B$9,0)))</f>
        <v>0</v>
      </c>
      <c r="K921" s="2" t="n">
        <f aca="false">IF(AND(E921&lt;&gt;"",G921&lt;&gt;"",J921&gt;0),IF(I921&gt;=Inputs!$B$6,1,0),0)</f>
        <v>0</v>
      </c>
      <c r="L921" s="5" t="n">
        <v>0</v>
      </c>
      <c r="M921" s="5" t="n">
        <v>50.2216</v>
      </c>
      <c r="N921" s="5" t="n">
        <v>0.255</v>
      </c>
      <c r="O921" s="4" t="s">
        <v>64</v>
      </c>
      <c r="P921" s="2" t="n">
        <f aca="false">IF(K921=1,J921/G921^2,0)</f>
        <v>0</v>
      </c>
      <c r="Q921" s="2" t="n">
        <f aca="false">IF(K921=1,((E921-Result!$B$7*D921)/G921)^2,0)</f>
        <v>0</v>
      </c>
    </row>
    <row r="922" customFormat="false" ht="15" hidden="false" customHeight="false" outlineLevel="0" collapsed="false">
      <c r="A922" s="4" t="s">
        <v>38</v>
      </c>
      <c r="B922" s="4" t="s">
        <v>988</v>
      </c>
      <c r="C922" s="4" t="s">
        <v>63</v>
      </c>
      <c r="D922" s="5" t="n">
        <v>1179.6545</v>
      </c>
      <c r="E922" s="5" t="n">
        <v>5.23</v>
      </c>
      <c r="F922" s="5" t="n">
        <v>0.00508296100953195</v>
      </c>
      <c r="G922" s="5" t="n">
        <v>1.3972</v>
      </c>
      <c r="H922" s="2" t="n">
        <f aca="false">D922*F922</f>
        <v>5.99613782821891</v>
      </c>
      <c r="I922" s="2" t="n">
        <f aca="false">IF(G922="","",D922*1000000/Inputs!$B$4^2*Inputs!$B$5/G922)</f>
        <v>4.29048289386309</v>
      </c>
      <c r="J922" s="2" t="n">
        <f aca="false">IF(C922="A",Inputs!$B$7,IF(C922="B",Inputs!$B$8,IF(C922="C",Inputs!$B$9,0)))</f>
        <v>1</v>
      </c>
      <c r="K922" s="2" t="n">
        <f aca="false">IF(AND(E922&lt;&gt;"",G922&lt;&gt;"",J922&gt;0),IF(I922&gt;=Inputs!$B$6,1,0),0)</f>
        <v>1</v>
      </c>
      <c r="L922" s="5" t="n">
        <v>1</v>
      </c>
      <c r="M922" s="5" t="n">
        <v>1179.6729</v>
      </c>
      <c r="N922" s="5" t="n">
        <v>6</v>
      </c>
      <c r="O922" s="4" t="s">
        <v>64</v>
      </c>
      <c r="P922" s="2" t="n">
        <f aca="false">IF(K922=1,J922/G922^2,0)</f>
        <v>0.512251036775608</v>
      </c>
      <c r="Q922" s="2" t="n">
        <f aca="false">IF(K922=1,((E922-Result!$B$7*D922)/G922)^2,0)</f>
        <v>0.274158217714205</v>
      </c>
    </row>
    <row r="923" customFormat="false" ht="15" hidden="false" customHeight="false" outlineLevel="0" collapsed="false">
      <c r="A923" s="4" t="s">
        <v>38</v>
      </c>
      <c r="B923" s="4" t="s">
        <v>989</v>
      </c>
      <c r="C923" s="4" t="s">
        <v>63</v>
      </c>
      <c r="D923" s="5" t="n">
        <v>780.443</v>
      </c>
      <c r="E923" s="5" t="n">
        <v>3.13</v>
      </c>
      <c r="F923" s="5" t="n">
        <v>0.00508258503986467</v>
      </c>
      <c r="G923" s="5" t="n">
        <v>1.3972</v>
      </c>
      <c r="H923" s="2" t="n">
        <f aca="false">D923*F923</f>
        <v>3.9666679162671</v>
      </c>
      <c r="I923" s="2" t="n">
        <f aca="false">IF(G923="","",D923*1000000/Inputs!$B$4^2*Inputs!$B$5/G923)</f>
        <v>2.83852377211734</v>
      </c>
      <c r="J923" s="2" t="n">
        <f aca="false">IF(C923="A",Inputs!$B$7,IF(C923="B",Inputs!$B$8,IF(C923="C",Inputs!$B$9,0)))</f>
        <v>1</v>
      </c>
      <c r="K923" s="2" t="n">
        <f aca="false">IF(AND(E923&lt;&gt;"",G923&lt;&gt;"",J923&gt;0),IF(I923&gt;=Inputs!$B$6,1,0),0)</f>
        <v>1</v>
      </c>
      <c r="L923" s="5" t="n">
        <v>1</v>
      </c>
      <c r="M923" s="5" t="n">
        <v>780.453</v>
      </c>
      <c r="N923" s="5" t="n">
        <v>3.97</v>
      </c>
      <c r="O923" s="4" t="s">
        <v>64</v>
      </c>
      <c r="P923" s="2" t="n">
        <f aca="false">IF(K923=1,J923/G923^2,0)</f>
        <v>0.512251036775608</v>
      </c>
      <c r="Q923" s="2" t="n">
        <f aca="false">IF(K923=1,((E923-Result!$B$7*D923)/G923)^2,0)</f>
        <v>0.339495091564483</v>
      </c>
    </row>
    <row r="924" customFormat="false" ht="15" hidden="false" customHeight="false" outlineLevel="0" collapsed="false">
      <c r="A924" s="4" t="s">
        <v>38</v>
      </c>
      <c r="B924" s="4" t="s">
        <v>990</v>
      </c>
      <c r="C924" s="4" t="s">
        <v>63</v>
      </c>
      <c r="D924" s="5" t="n">
        <v>911.7999</v>
      </c>
      <c r="E924" s="5" t="n">
        <v>2.82</v>
      </c>
      <c r="F924" s="5" t="n">
        <v>0.00508276232502944</v>
      </c>
      <c r="G924" s="5" t="n">
        <v>1.3972</v>
      </c>
      <c r="H924" s="2" t="n">
        <f aca="false">D924*F924</f>
        <v>4.63446217968561</v>
      </c>
      <c r="I924" s="2" t="n">
        <f aca="false">IF(G924="","",D924*1000000/Inputs!$B$4^2*Inputs!$B$5/G924)</f>
        <v>3.31627766738149</v>
      </c>
      <c r="J924" s="2" t="n">
        <f aca="false">IF(C924="A",Inputs!$B$7,IF(C924="B",Inputs!$B$8,IF(C924="C",Inputs!$B$9,0)))</f>
        <v>1</v>
      </c>
      <c r="K924" s="2" t="n">
        <f aca="false">IF(AND(E924&lt;&gt;"",G924&lt;&gt;"",J924&gt;0),IF(I924&gt;=Inputs!$B$6,1,0),0)</f>
        <v>1</v>
      </c>
      <c r="L924" s="5" t="n">
        <v>1</v>
      </c>
      <c r="M924" s="5" t="n">
        <v>911.8108</v>
      </c>
      <c r="N924" s="5" t="n">
        <v>4.63</v>
      </c>
      <c r="O924" s="4" t="s">
        <v>64</v>
      </c>
      <c r="P924" s="2" t="n">
        <f aca="false">IF(K924=1,J924/G924^2,0)</f>
        <v>0.512251036775608</v>
      </c>
      <c r="Q924" s="2" t="n">
        <f aca="false">IF(K924=1,((E924-Result!$B$7*D924)/G924)^2,0)</f>
        <v>1.63750759533226</v>
      </c>
    </row>
    <row r="925" customFormat="false" ht="15" hidden="false" customHeight="false" outlineLevel="0" collapsed="false">
      <c r="A925" s="4" t="s">
        <v>38</v>
      </c>
      <c r="B925" s="4" t="s">
        <v>991</v>
      </c>
      <c r="C925" s="4" t="s">
        <v>63</v>
      </c>
      <c r="D925" s="5" t="n">
        <v>653.0365</v>
      </c>
      <c r="E925" s="5" t="n">
        <v>3.57</v>
      </c>
      <c r="F925" s="5" t="n">
        <v>0.00508282916092752</v>
      </c>
      <c r="G925" s="5" t="n">
        <v>1.3972</v>
      </c>
      <c r="H925" s="2" t="n">
        <f aca="false">D925*F925</f>
        <v>3.31927296535004</v>
      </c>
      <c r="I925" s="2" t="n">
        <f aca="false">IF(G925="","",D925*1000000/Inputs!$B$4^2*Inputs!$B$5/G925)</f>
        <v>2.37513774780516</v>
      </c>
      <c r="J925" s="2" t="n">
        <f aca="false">IF(C925="A",Inputs!$B$7,IF(C925="B",Inputs!$B$8,IF(C925="C",Inputs!$B$9,0)))</f>
        <v>1</v>
      </c>
      <c r="K925" s="2" t="n">
        <f aca="false">IF(AND(E925&lt;&gt;"",G925&lt;&gt;"",J925&gt;0),IF(I925&gt;=Inputs!$B$6,1,0),0)</f>
        <v>1</v>
      </c>
      <c r="L925" s="5" t="n">
        <v>0</v>
      </c>
      <c r="M925" s="5" t="n">
        <v>653.0438</v>
      </c>
      <c r="N925" s="5" t="n">
        <v>3.32</v>
      </c>
      <c r="O925" s="4" t="s">
        <v>64</v>
      </c>
      <c r="P925" s="2" t="n">
        <f aca="false">IF(K925=1,J925/G925^2,0)</f>
        <v>0.512251036775608</v>
      </c>
      <c r="Q925" s="2" t="n">
        <f aca="false">IF(K925=1,((E925-Result!$B$7*D925)/G925)^2,0)</f>
        <v>0.0372806090197962</v>
      </c>
    </row>
    <row r="926" customFormat="false" ht="15" hidden="false" customHeight="false" outlineLevel="0" collapsed="false">
      <c r="A926" s="4" t="s">
        <v>38</v>
      </c>
      <c r="B926" s="4" t="s">
        <v>992</v>
      </c>
      <c r="C926" s="4" t="s">
        <v>63</v>
      </c>
      <c r="D926" s="5" t="n">
        <v>754.0199</v>
      </c>
      <c r="E926" s="5" t="n">
        <v>4.65</v>
      </c>
      <c r="F926" s="5" t="n">
        <v>0.00508270530861125</v>
      </c>
      <c r="G926" s="5" t="n">
        <v>1.3972</v>
      </c>
      <c r="H926" s="2" t="n">
        <f aca="false">D926*F926</f>
        <v>3.83246094852853</v>
      </c>
      <c r="I926" s="2" t="n">
        <f aca="false">IF(G926="","",D926*1000000/Inputs!$B$4^2*Inputs!$B$5/G926)</f>
        <v>2.74242117720261</v>
      </c>
      <c r="J926" s="2" t="n">
        <f aca="false">IF(C926="A",Inputs!$B$7,IF(C926="B",Inputs!$B$8,IF(C926="C",Inputs!$B$9,0)))</f>
        <v>1</v>
      </c>
      <c r="K926" s="2" t="n">
        <f aca="false">IF(AND(E926&lt;&gt;"",G926&lt;&gt;"",J926&gt;0),IF(I926&gt;=Inputs!$B$6,1,0),0)</f>
        <v>1</v>
      </c>
      <c r="L926" s="5" t="n">
        <v>1</v>
      </c>
      <c r="M926" s="5" t="n">
        <v>754.0289</v>
      </c>
      <c r="N926" s="5" t="n">
        <v>3.83</v>
      </c>
      <c r="O926" s="4" t="s">
        <v>64</v>
      </c>
      <c r="P926" s="2" t="n">
        <f aca="false">IF(K926=1,J926/G926^2,0)</f>
        <v>0.512251036775608</v>
      </c>
      <c r="Q926" s="2" t="n">
        <f aca="false">IF(K926=1,((E926-Result!$B$7*D926)/G926)^2,0)</f>
        <v>0.360960827832107</v>
      </c>
    </row>
    <row r="927" customFormat="false" ht="15" hidden="false" customHeight="false" outlineLevel="0" collapsed="false">
      <c r="A927" s="4" t="s">
        <v>38</v>
      </c>
      <c r="B927" s="4" t="s">
        <v>993</v>
      </c>
      <c r="C927" s="4" t="s">
        <v>63</v>
      </c>
      <c r="D927" s="5" t="n">
        <v>605.6638</v>
      </c>
      <c r="E927" s="5" t="n">
        <v>3.1</v>
      </c>
      <c r="F927" s="5" t="n">
        <v>0.00508268387958038</v>
      </c>
      <c r="G927" s="5" t="n">
        <v>1.3972</v>
      </c>
      <c r="H927" s="2" t="n">
        <f aca="false">D927*F927</f>
        <v>3.07839763270539</v>
      </c>
      <c r="I927" s="2" t="n">
        <f aca="false">IF(G927="","",D927*1000000/Inputs!$B$4^2*Inputs!$B$5/G927)</f>
        <v>2.20284004624415</v>
      </c>
      <c r="J927" s="2" t="n">
        <f aca="false">IF(C927="A",Inputs!$B$7,IF(C927="B",Inputs!$B$8,IF(C927="C",Inputs!$B$9,0)))</f>
        <v>1</v>
      </c>
      <c r="K927" s="2" t="n">
        <f aca="false">IF(AND(E927&lt;&gt;"",G927&lt;&gt;"",J927&gt;0),IF(I927&gt;=Inputs!$B$6,1,0),0)</f>
        <v>1</v>
      </c>
      <c r="L927" s="5" t="n">
        <v>0</v>
      </c>
      <c r="M927" s="5" t="n">
        <v>605.6706</v>
      </c>
      <c r="N927" s="5" t="n">
        <v>3.08</v>
      </c>
      <c r="O927" s="4" t="s">
        <v>64</v>
      </c>
      <c r="P927" s="2" t="n">
        <f aca="false">IF(K927=1,J927/G927^2,0)</f>
        <v>0.512251036775608</v>
      </c>
      <c r="Q927" s="2" t="n">
        <f aca="false">IF(K927=1,((E927-Result!$B$7*D927)/G927)^2,0)</f>
        <v>0.000786327319697074</v>
      </c>
    </row>
    <row r="928" customFormat="false" ht="15" hidden="false" customHeight="false" outlineLevel="0" collapsed="false">
      <c r="A928" s="4" t="s">
        <v>38</v>
      </c>
      <c r="B928" s="4" t="s">
        <v>994</v>
      </c>
      <c r="C928" s="4" t="s">
        <v>63</v>
      </c>
      <c r="D928" s="5" t="n">
        <v>504.6794</v>
      </c>
      <c r="E928" s="5" t="n">
        <v>2.02</v>
      </c>
      <c r="F928" s="5" t="n">
        <v>0.00508283988675279</v>
      </c>
      <c r="G928" s="5" t="n">
        <v>1.3972</v>
      </c>
      <c r="H928" s="2" t="n">
        <f aca="false">D928*F928</f>
        <v>2.56520458434247</v>
      </c>
      <c r="I928" s="2" t="n">
        <f aca="false">IF(G928="","",D928*1000000/Inputs!$B$4^2*Inputs!$B$5/G928)</f>
        <v>1.83555297977932</v>
      </c>
      <c r="J928" s="2" t="n">
        <f aca="false">IF(C928="A",Inputs!$B$7,IF(C928="B",Inputs!$B$8,IF(C928="C",Inputs!$B$9,0)))</f>
        <v>1</v>
      </c>
      <c r="K928" s="2" t="n">
        <f aca="false">IF(AND(E928&lt;&gt;"",G928&lt;&gt;"",J928&gt;0),IF(I928&gt;=Inputs!$B$6,1,0),0)</f>
        <v>0</v>
      </c>
      <c r="L928" s="5" t="n">
        <v>0</v>
      </c>
      <c r="M928" s="5" t="n">
        <v>504.6855</v>
      </c>
      <c r="N928" s="5" t="n">
        <v>2.57</v>
      </c>
      <c r="O928" s="4" t="s">
        <v>64</v>
      </c>
      <c r="P928" s="2" t="n">
        <f aca="false">IF(K928=1,J928/G928^2,0)</f>
        <v>0</v>
      </c>
      <c r="Q928" s="2" t="n">
        <f aca="false">IF(K928=1,((E928-Result!$B$7*D928)/G928)^2,0)</f>
        <v>0</v>
      </c>
    </row>
    <row r="929" customFormat="false" ht="15" hidden="false" customHeight="false" outlineLevel="0" collapsed="false">
      <c r="A929" s="4" t="s">
        <v>38</v>
      </c>
      <c r="B929" s="4" t="s">
        <v>995</v>
      </c>
      <c r="C929" s="4" t="s">
        <v>63</v>
      </c>
      <c r="D929" s="5" t="n">
        <v>525.3348</v>
      </c>
      <c r="E929" s="5" t="n">
        <v>2.44</v>
      </c>
      <c r="F929" s="5" t="n">
        <v>0.00508273930724734</v>
      </c>
      <c r="G929" s="5" t="n">
        <v>1.3972</v>
      </c>
      <c r="H929" s="2" t="n">
        <f aca="false">D929*F929</f>
        <v>2.67013983742492</v>
      </c>
      <c r="I929" s="2" t="n">
        <f aca="false">IF(G929="","",D929*1000000/Inputs!$B$4^2*Inputs!$B$5/G929)</f>
        <v>1.91067806120435</v>
      </c>
      <c r="J929" s="2" t="n">
        <f aca="false">IF(C929="A",Inputs!$B$7,IF(C929="B",Inputs!$B$8,IF(C929="C",Inputs!$B$9,0)))</f>
        <v>1</v>
      </c>
      <c r="K929" s="2" t="n">
        <f aca="false">IF(AND(E929&lt;&gt;"",G929&lt;&gt;"",J929&gt;0),IF(I929&gt;=Inputs!$B$6,1,0),0)</f>
        <v>0</v>
      </c>
      <c r="L929" s="5" t="n">
        <v>0</v>
      </c>
      <c r="M929" s="5" t="n">
        <v>525.3404</v>
      </c>
      <c r="N929" s="5" t="n">
        <v>2.67</v>
      </c>
      <c r="O929" s="4" t="s">
        <v>64</v>
      </c>
      <c r="P929" s="2" t="n">
        <f aca="false">IF(K929=1,J929/G929^2,0)</f>
        <v>0</v>
      </c>
      <c r="Q929" s="2" t="n">
        <f aca="false">IF(K929=1,((E929-Result!$B$7*D929)/G929)^2,0)</f>
        <v>0</v>
      </c>
    </row>
    <row r="930" customFormat="false" ht="15" hidden="false" customHeight="false" outlineLevel="0" collapsed="false">
      <c r="A930" s="4" t="s">
        <v>38</v>
      </c>
      <c r="B930" s="4" t="s">
        <v>996</v>
      </c>
      <c r="C930" s="4" t="s">
        <v>63</v>
      </c>
      <c r="D930" s="5" t="n">
        <v>407.1284</v>
      </c>
      <c r="E930" s="5" t="n">
        <v>4.95</v>
      </c>
      <c r="F930" s="5" t="n">
        <v>0.00508289519696349</v>
      </c>
      <c r="G930" s="5" t="n">
        <v>1.3972</v>
      </c>
      <c r="H930" s="2" t="n">
        <f aca="false">D930*F930</f>
        <v>2.06939098890743</v>
      </c>
      <c r="I930" s="2" t="n">
        <f aca="false">IF(G930="","",D930*1000000/Inputs!$B$4^2*Inputs!$B$5/G930)</f>
        <v>1.48075342043442</v>
      </c>
      <c r="J930" s="2" t="n">
        <f aca="false">IF(C930="A",Inputs!$B$7,IF(C930="B",Inputs!$B$8,IF(C930="C",Inputs!$B$9,0)))</f>
        <v>1</v>
      </c>
      <c r="K930" s="2" t="n">
        <f aca="false">IF(AND(E930&lt;&gt;"",G930&lt;&gt;"",J930&gt;0),IF(I930&gt;=Inputs!$B$6,1,0),0)</f>
        <v>0</v>
      </c>
      <c r="L930" s="5" t="n">
        <v>0</v>
      </c>
      <c r="M930" s="5" t="n">
        <v>407.135</v>
      </c>
      <c r="N930" s="5" t="n">
        <v>2.07</v>
      </c>
      <c r="O930" s="4" t="s">
        <v>64</v>
      </c>
      <c r="P930" s="2" t="n">
        <f aca="false">IF(K930=1,J930/G930^2,0)</f>
        <v>0</v>
      </c>
      <c r="Q930" s="2" t="n">
        <f aca="false">IF(K930=1,((E930-Result!$B$7*D930)/G930)^2,0)</f>
        <v>0</v>
      </c>
    </row>
    <row r="931" customFormat="false" ht="15" hidden="false" customHeight="false" outlineLevel="0" collapsed="false">
      <c r="A931" s="4" t="s">
        <v>38</v>
      </c>
      <c r="B931" s="4" t="s">
        <v>997</v>
      </c>
      <c r="C931" s="4" t="s">
        <v>63</v>
      </c>
      <c r="D931" s="5" t="n">
        <v>586.2738</v>
      </c>
      <c r="E931" s="5" t="n">
        <v>3.27</v>
      </c>
      <c r="F931" s="5" t="n">
        <v>0.00508293977048681</v>
      </c>
      <c r="G931" s="5" t="n">
        <v>1.3972</v>
      </c>
      <c r="H931" s="2" t="n">
        <f aca="false">D931*F931</f>
        <v>2.97999441441443</v>
      </c>
      <c r="I931" s="2" t="n">
        <f aca="false">IF(G931="","",D931*1000000/Inputs!$B$4^2*Inputs!$B$5/G931)</f>
        <v>2.13231730987345</v>
      </c>
      <c r="J931" s="2" t="n">
        <f aca="false">IF(C931="A",Inputs!$B$7,IF(C931="B",Inputs!$B$8,IF(C931="C",Inputs!$B$9,0)))</f>
        <v>1</v>
      </c>
      <c r="K931" s="2" t="n">
        <f aca="false">IF(AND(E931&lt;&gt;"",G931&lt;&gt;"",J931&gt;0),IF(I931&gt;=Inputs!$B$6,1,0),0)</f>
        <v>1</v>
      </c>
      <c r="L931" s="5" t="n">
        <v>0</v>
      </c>
      <c r="M931" s="5" t="n">
        <v>586.2802</v>
      </c>
      <c r="N931" s="5" t="n">
        <v>2.98</v>
      </c>
      <c r="O931" s="4" t="s">
        <v>64</v>
      </c>
      <c r="P931" s="2" t="n">
        <f aca="false">IF(K931=1,J931/G931^2,0)</f>
        <v>0.512251036775608</v>
      </c>
      <c r="Q931" s="2" t="n">
        <f aca="false">IF(K931=1,((E931-Result!$B$7*D931)/G931)^2,0)</f>
        <v>0.0483326748468311</v>
      </c>
    </row>
    <row r="932" customFormat="false" ht="15" hidden="false" customHeight="false" outlineLevel="0" collapsed="false">
      <c r="A932" s="4" t="s">
        <v>38</v>
      </c>
      <c r="B932" s="4" t="s">
        <v>998</v>
      </c>
      <c r="C932" s="4" t="s">
        <v>63</v>
      </c>
      <c r="D932" s="5" t="n">
        <v>704.4768</v>
      </c>
      <c r="E932" s="5" t="n">
        <v>0.76</v>
      </c>
      <c r="F932" s="5" t="n">
        <v>0.0050828160857074</v>
      </c>
      <c r="G932" s="5" t="n">
        <v>1.3972</v>
      </c>
      <c r="H932" s="2" t="n">
        <f aca="false">D932*F932</f>
        <v>3.58072601104767</v>
      </c>
      <c r="I932" s="2" t="n">
        <f aca="false">IF(G932="","",D932*1000000/Inputs!$B$4^2*Inputs!$B$5/G932)</f>
        <v>2.56222958461432</v>
      </c>
      <c r="J932" s="2" t="n">
        <f aca="false">IF(C932="A",Inputs!$B$7,IF(C932="B",Inputs!$B$8,IF(C932="C",Inputs!$B$9,0)))</f>
        <v>1</v>
      </c>
      <c r="K932" s="2" t="n">
        <f aca="false">IF(AND(E932&lt;&gt;"",G932&lt;&gt;"",J932&gt;0),IF(I932&gt;=Inputs!$B$6,1,0),0)</f>
        <v>1</v>
      </c>
      <c r="L932" s="5" t="n">
        <v>1</v>
      </c>
      <c r="M932" s="5" t="n">
        <v>704.4856</v>
      </c>
      <c r="N932" s="5" t="n">
        <v>3.58</v>
      </c>
      <c r="O932" s="4" t="s">
        <v>64</v>
      </c>
      <c r="P932" s="2" t="n">
        <f aca="false">IF(K932=1,J932/G932^2,0)</f>
        <v>0.512251036775608</v>
      </c>
      <c r="Q932" s="2" t="n">
        <f aca="false">IF(K932=1,((E932-Result!$B$7*D932)/G932)^2,0)</f>
        <v>4.01658721387403</v>
      </c>
    </row>
    <row r="933" customFormat="false" ht="15" hidden="false" customHeight="false" outlineLevel="0" collapsed="false">
      <c r="A933" s="4" t="s">
        <v>38</v>
      </c>
      <c r="B933" s="4" t="s">
        <v>999</v>
      </c>
      <c r="C933" s="4" t="s">
        <v>63</v>
      </c>
      <c r="D933" s="5" t="n">
        <v>1294.3325</v>
      </c>
      <c r="E933" s="5" t="n">
        <v>6.86</v>
      </c>
      <c r="F933" s="5" t="n">
        <v>0.00508291657082794</v>
      </c>
      <c r="G933" s="5" t="n">
        <v>1.3972</v>
      </c>
      <c r="H933" s="2" t="n">
        <f aca="false">D933*F933</f>
        <v>6.57898411241116</v>
      </c>
      <c r="I933" s="2" t="n">
        <f aca="false">IF(G933="","",D933*1000000/Inputs!$B$4^2*Inputs!$B$5/G933)</f>
        <v>4.70757450611264</v>
      </c>
      <c r="J933" s="2" t="n">
        <f aca="false">IF(C933="A",Inputs!$B$7,IF(C933="B",Inputs!$B$8,IF(C933="C",Inputs!$B$9,0)))</f>
        <v>1</v>
      </c>
      <c r="K933" s="2" t="n">
        <f aca="false">IF(AND(E933&lt;&gt;"",G933&lt;&gt;"",J933&gt;0),IF(I933&gt;=Inputs!$B$6,1,0),0)</f>
        <v>1</v>
      </c>
      <c r="L933" s="5" t="n">
        <v>1</v>
      </c>
      <c r="M933" s="5" t="n">
        <v>1294.3532</v>
      </c>
      <c r="N933" s="5" t="n">
        <v>6.58</v>
      </c>
      <c r="O933" s="4" t="s">
        <v>64</v>
      </c>
      <c r="P933" s="2" t="n">
        <f aca="false">IF(K933=1,J933/G933^2,0)</f>
        <v>0.512251036775608</v>
      </c>
      <c r="Q933" s="2" t="n">
        <f aca="false">IF(K933=1,((E933-Result!$B$7*D933)/G933)^2,0)</f>
        <v>0.0520881320387043</v>
      </c>
    </row>
    <row r="934" customFormat="false" ht="15" hidden="false" customHeight="false" outlineLevel="0" collapsed="false">
      <c r="A934" s="4" t="s">
        <v>38</v>
      </c>
      <c r="B934" s="4" t="s">
        <v>1000</v>
      </c>
      <c r="C934" s="4" t="s">
        <v>63</v>
      </c>
      <c r="D934" s="5" t="n">
        <v>382.5295</v>
      </c>
      <c r="E934" s="5" t="n">
        <v>-0.11</v>
      </c>
      <c r="F934" s="5" t="n">
        <v>0.00508304010213219</v>
      </c>
      <c r="G934" s="5" t="n">
        <v>1.3972</v>
      </c>
      <c r="H934" s="2" t="n">
        <f aca="false">D934*F934</f>
        <v>1.94441278874858</v>
      </c>
      <c r="I934" s="2" t="n">
        <f aca="false">IF(G934="","",D934*1000000/Inputs!$B$4^2*Inputs!$B$5/G934)</f>
        <v>1.39128556382229</v>
      </c>
      <c r="J934" s="2" t="n">
        <f aca="false">IF(C934="A",Inputs!$B$7,IF(C934="B",Inputs!$B$8,IF(C934="C",Inputs!$B$9,0)))</f>
        <v>1</v>
      </c>
      <c r="K934" s="2" t="n">
        <f aca="false">IF(AND(E934&lt;&gt;"",G934&lt;&gt;"",J934&gt;0),IF(I934&gt;=Inputs!$B$6,1,0),0)</f>
        <v>0</v>
      </c>
      <c r="L934" s="5" t="n">
        <v>0</v>
      </c>
      <c r="M934" s="5" t="n">
        <v>382.5328</v>
      </c>
      <c r="N934" s="5" t="n">
        <v>1.94</v>
      </c>
      <c r="O934" s="4" t="s">
        <v>64</v>
      </c>
      <c r="P934" s="2" t="n">
        <f aca="false">IF(K934=1,J934/G934^2,0)</f>
        <v>0</v>
      </c>
      <c r="Q934" s="2" t="n">
        <f aca="false">IF(K934=1,((E934-Result!$B$7*D934)/G934)^2,0)</f>
        <v>0</v>
      </c>
    </row>
    <row r="935" customFormat="false" ht="15" hidden="false" customHeight="false" outlineLevel="0" collapsed="false">
      <c r="A935" s="4" t="s">
        <v>38</v>
      </c>
      <c r="B935" s="4" t="s">
        <v>1001</v>
      </c>
      <c r="C935" s="4" t="s">
        <v>63</v>
      </c>
      <c r="D935" s="5" t="n">
        <v>2345.1953</v>
      </c>
      <c r="E935" s="5" t="n">
        <v>11.28</v>
      </c>
      <c r="F935" s="5" t="n">
        <v>0.00508329220094801</v>
      </c>
      <c r="G935" s="5" t="n">
        <v>1.3972</v>
      </c>
      <c r="H935" s="2" t="n">
        <f aca="false">D935*F935</f>
        <v>11.9213129781899</v>
      </c>
      <c r="I935" s="2" t="n">
        <f aca="false">IF(G935="","",D935*1000000/Inputs!$B$4^2*Inputs!$B$5/G935)</f>
        <v>8.52963330993789</v>
      </c>
      <c r="J935" s="2" t="n">
        <f aca="false">IF(C935="A",Inputs!$B$7,IF(C935="B",Inputs!$B$8,IF(C935="C",Inputs!$B$9,0)))</f>
        <v>1</v>
      </c>
      <c r="K935" s="2" t="n">
        <f aca="false">IF(AND(E935&lt;&gt;"",G935&lt;&gt;"",J935&gt;0),IF(I935&gt;=Inputs!$B$6,1,0),0)</f>
        <v>1</v>
      </c>
      <c r="L935" s="5" t="n">
        <v>1</v>
      </c>
      <c r="M935" s="5" t="n">
        <v>2345.2506</v>
      </c>
      <c r="N935" s="5" t="n">
        <v>11.92</v>
      </c>
      <c r="O935" s="4" t="s">
        <v>64</v>
      </c>
      <c r="P935" s="2" t="n">
        <f aca="false">IF(K935=1,J935/G935^2,0)</f>
        <v>0.512251036775608</v>
      </c>
      <c r="Q935" s="2" t="n">
        <f aca="false">IF(K935=1,((E935-Result!$B$7*D935)/G935)^2,0)</f>
        <v>0.16749799432965</v>
      </c>
    </row>
    <row r="936" customFormat="false" ht="15" hidden="false" customHeight="false" outlineLevel="0" collapsed="false">
      <c r="A936" s="4" t="s">
        <v>38</v>
      </c>
      <c r="B936" s="4" t="s">
        <v>1002</v>
      </c>
      <c r="C936" s="4" t="s">
        <v>63</v>
      </c>
      <c r="D936" s="5" t="n">
        <v>1934.045</v>
      </c>
      <c r="E936" s="5" t="n">
        <v>8.33</v>
      </c>
      <c r="F936" s="5" t="n">
        <v>0.00508339645196522</v>
      </c>
      <c r="G936" s="5" t="n">
        <v>1.3972</v>
      </c>
      <c r="H936" s="2" t="n">
        <f aca="false">D936*F936</f>
        <v>9.83151749094107</v>
      </c>
      <c r="I936" s="2" t="n">
        <f aca="false">IF(G936="","",D936*1000000/Inputs!$B$4^2*Inputs!$B$5/G936)</f>
        <v>7.0342519682343</v>
      </c>
      <c r="J936" s="2" t="n">
        <f aca="false">IF(C936="A",Inputs!$B$7,IF(C936="B",Inputs!$B$8,IF(C936="C",Inputs!$B$9,0)))</f>
        <v>1</v>
      </c>
      <c r="K936" s="2" t="n">
        <f aca="false">IF(AND(E936&lt;&gt;"",G936&lt;&gt;"",J936&gt;0),IF(I936&gt;=Inputs!$B$6,1,0),0)</f>
        <v>1</v>
      </c>
      <c r="L936" s="5" t="n">
        <v>1</v>
      </c>
      <c r="M936" s="5" t="n">
        <v>1934.0886</v>
      </c>
      <c r="N936" s="5" t="n">
        <v>9.83</v>
      </c>
      <c r="O936" s="4" t="s">
        <v>64</v>
      </c>
      <c r="P936" s="2" t="n">
        <f aca="false">IF(K936=1,J936/G936^2,0)</f>
        <v>0.512251036775608</v>
      </c>
      <c r="Q936" s="2" t="n">
        <f aca="false">IF(K936=1,((E936-Result!$B$7*D936)/G936)^2,0)</f>
        <v>1.06812862165805</v>
      </c>
    </row>
    <row r="937" customFormat="false" ht="15" hidden="false" customHeight="false" outlineLevel="0" collapsed="false">
      <c r="A937" s="4" t="s">
        <v>38</v>
      </c>
      <c r="B937" s="4" t="s">
        <v>1003</v>
      </c>
      <c r="C937" s="4" t="s">
        <v>63</v>
      </c>
      <c r="D937" s="5" t="n">
        <v>791.345</v>
      </c>
      <c r="E937" s="5" t="n">
        <v>3.24</v>
      </c>
      <c r="F937" s="5" t="n">
        <v>0.00508320868938091</v>
      </c>
      <c r="G937" s="5" t="n">
        <v>1.3972</v>
      </c>
      <c r="H937" s="2" t="n">
        <f aca="false">D937*F937</f>
        <v>4.02257178029814</v>
      </c>
      <c r="I937" s="2" t="n">
        <f aca="false">IF(G937="","",D937*1000000/Inputs!$B$4^2*Inputs!$B$5/G937)</f>
        <v>2.87817508062241</v>
      </c>
      <c r="J937" s="2" t="n">
        <f aca="false">IF(C937="A",Inputs!$B$7,IF(C937="B",Inputs!$B$8,IF(C937="C",Inputs!$B$9,0)))</f>
        <v>1</v>
      </c>
      <c r="K937" s="2" t="n">
        <f aca="false">IF(AND(E937&lt;&gt;"",G937&lt;&gt;"",J937&gt;0),IF(I937&gt;=Inputs!$B$6,1,0),0)</f>
        <v>1</v>
      </c>
      <c r="L937" s="5" t="n">
        <v>1</v>
      </c>
      <c r="M937" s="5" t="n">
        <v>791.3563</v>
      </c>
      <c r="N937" s="5" t="n">
        <v>4.02</v>
      </c>
      <c r="O937" s="4" t="s">
        <v>64</v>
      </c>
      <c r="P937" s="2" t="n">
        <f aca="false">IF(K937=1,J937/G937^2,0)</f>
        <v>0.512251036775608</v>
      </c>
      <c r="Q937" s="2" t="n">
        <f aca="false">IF(K937=1,((E937-Result!$B$7*D937)/G937)^2,0)</f>
        <v>0.295246221870038</v>
      </c>
    </row>
    <row r="938" customFormat="false" ht="15" hidden="false" customHeight="false" outlineLevel="0" collapsed="false">
      <c r="A938" s="4" t="s">
        <v>38</v>
      </c>
      <c r="B938" s="4" t="s">
        <v>1004</v>
      </c>
      <c r="C938" s="4" t="s">
        <v>63</v>
      </c>
      <c r="D938" s="5" t="n">
        <v>810.5602</v>
      </c>
      <c r="E938" s="5" t="n">
        <v>2.9</v>
      </c>
      <c r="F938" s="5" t="n">
        <v>0.00508366549557795</v>
      </c>
      <c r="G938" s="5" t="n">
        <v>1.3972</v>
      </c>
      <c r="H938" s="2" t="n">
        <f aca="false">D938*F938</f>
        <v>4.12061692082876</v>
      </c>
      <c r="I938" s="2" t="n">
        <f aca="false">IF(G938="","",D938*1000000/Inputs!$B$4^2*Inputs!$B$5/G938)</f>
        <v>2.94806205761623</v>
      </c>
      <c r="J938" s="2" t="n">
        <f aca="false">IF(C938="A",Inputs!$B$7,IF(C938="B",Inputs!$B$8,IF(C938="C",Inputs!$B$9,0)))</f>
        <v>1</v>
      </c>
      <c r="K938" s="2" t="n">
        <f aca="false">IF(AND(E938&lt;&gt;"",G938&lt;&gt;"",J938&gt;0),IF(I938&gt;=Inputs!$B$6,1,0),0)</f>
        <v>1</v>
      </c>
      <c r="L938" s="5" t="n">
        <v>1</v>
      </c>
      <c r="M938" s="5" t="n">
        <v>810.574</v>
      </c>
      <c r="N938" s="5" t="n">
        <v>4.12</v>
      </c>
      <c r="O938" s="4" t="s">
        <v>64</v>
      </c>
      <c r="P938" s="2" t="n">
        <f aca="false">IF(K938=1,J938/G938^2,0)</f>
        <v>0.512251036775608</v>
      </c>
      <c r="Q938" s="2" t="n">
        <f aca="false">IF(K938=1,((E938-Result!$B$7*D938)/G938)^2,0)</f>
        <v>0.733096787374071</v>
      </c>
    </row>
    <row r="939" customFormat="false" ht="15" hidden="false" customHeight="false" outlineLevel="0" collapsed="false">
      <c r="A939" s="4" t="s">
        <v>38</v>
      </c>
      <c r="B939" s="4" t="s">
        <v>1005</v>
      </c>
      <c r="C939" s="4" t="s">
        <v>63</v>
      </c>
      <c r="D939" s="5" t="n">
        <v>285.0818</v>
      </c>
      <c r="E939" s="5" t="n">
        <v>0.37</v>
      </c>
      <c r="F939" s="5" t="n">
        <v>0.00508382926990066</v>
      </c>
      <c r="G939" s="5" t="n">
        <v>1.3972</v>
      </c>
      <c r="H939" s="2" t="n">
        <f aca="false">D939*F939</f>
        <v>1.44930719915597</v>
      </c>
      <c r="I939" s="2" t="n">
        <f aca="false">IF(G939="","",D939*1000000/Inputs!$B$4^2*Inputs!$B$5/G939)</f>
        <v>1.03686171353706</v>
      </c>
      <c r="J939" s="2" t="n">
        <f aca="false">IF(C939="A",Inputs!$B$7,IF(C939="B",Inputs!$B$8,IF(C939="C",Inputs!$B$9,0)))</f>
        <v>1</v>
      </c>
      <c r="K939" s="2" t="n">
        <f aca="false">IF(AND(E939&lt;&gt;"",G939&lt;&gt;"",J939&gt;0),IF(I939&gt;=Inputs!$B$6,1,0),0)</f>
        <v>0</v>
      </c>
      <c r="L939" s="5" t="n">
        <v>1</v>
      </c>
      <c r="M939" s="5" t="n">
        <v>285.0847</v>
      </c>
      <c r="N939" s="5" t="n">
        <v>1.45</v>
      </c>
      <c r="O939" s="4" t="s">
        <v>64</v>
      </c>
      <c r="P939" s="2" t="n">
        <f aca="false">IF(K939=1,J939/G939^2,0)</f>
        <v>0</v>
      </c>
      <c r="Q939" s="2" t="n">
        <f aca="false">IF(K939=1,((E939-Result!$B$7*D939)/G939)^2,0)</f>
        <v>0</v>
      </c>
    </row>
    <row r="940" customFormat="false" ht="15" hidden="false" customHeight="false" outlineLevel="0" collapsed="false">
      <c r="A940" s="4" t="s">
        <v>38</v>
      </c>
      <c r="B940" s="4" t="s">
        <v>1006</v>
      </c>
      <c r="C940" s="4" t="s">
        <v>63</v>
      </c>
      <c r="D940" s="5" t="n">
        <v>668.1684</v>
      </c>
      <c r="E940" s="5" t="n">
        <v>5.51</v>
      </c>
      <c r="F940" s="5" t="n">
        <v>0.00508369764063266</v>
      </c>
      <c r="G940" s="5" t="n">
        <v>1.3972</v>
      </c>
      <c r="H940" s="2" t="n">
        <f aca="false">D940*F940</f>
        <v>3.3967661186253</v>
      </c>
      <c r="I940" s="2" t="n">
        <f aca="false">IF(G940="","",D940*1000000/Inputs!$B$4^2*Inputs!$B$5/G940)</f>
        <v>2.43017348759308</v>
      </c>
      <c r="J940" s="2" t="n">
        <f aca="false">IF(C940="A",Inputs!$B$7,IF(C940="B",Inputs!$B$8,IF(C940="C",Inputs!$B$9,0)))</f>
        <v>1</v>
      </c>
      <c r="K940" s="2" t="n">
        <f aca="false">IF(AND(E940&lt;&gt;"",G940&lt;&gt;"",J940&gt;0),IF(I940&gt;=Inputs!$B$6,1,0),0)</f>
        <v>1</v>
      </c>
      <c r="L940" s="5" t="n">
        <v>1</v>
      </c>
      <c r="M940" s="5" t="n">
        <v>668.1769</v>
      </c>
      <c r="N940" s="5" t="n">
        <v>3.4</v>
      </c>
      <c r="O940" s="4" t="s">
        <v>64</v>
      </c>
      <c r="P940" s="2" t="n">
        <f aca="false">IF(K940=1,J940/G940^2,0)</f>
        <v>0.512251036775608</v>
      </c>
      <c r="Q940" s="2" t="n">
        <f aca="false">IF(K940=1,((E940-Result!$B$7*D940)/G940)^2,0)</f>
        <v>2.33124394460625</v>
      </c>
    </row>
    <row r="941" customFormat="false" ht="15" hidden="false" customHeight="false" outlineLevel="0" collapsed="false">
      <c r="A941" s="4" t="s">
        <v>38</v>
      </c>
      <c r="B941" s="4" t="s">
        <v>1007</v>
      </c>
      <c r="C941" s="4" t="s">
        <v>63</v>
      </c>
      <c r="D941" s="5" t="n">
        <v>228.761</v>
      </c>
      <c r="E941" s="5" t="n">
        <v>3.85</v>
      </c>
      <c r="F941" s="5" t="n">
        <v>0.00508386134404306</v>
      </c>
      <c r="G941" s="5" t="n">
        <v>1.3972</v>
      </c>
      <c r="H941" s="2" t="n">
        <f aca="false">D941*F941</f>
        <v>1.16298920492463</v>
      </c>
      <c r="I941" s="2" t="n">
        <f aca="false">IF(G941="","",D941*1000000/Inputs!$B$4^2*Inputs!$B$5/G941)</f>
        <v>0.832019169411904</v>
      </c>
      <c r="J941" s="2" t="n">
        <f aca="false">IF(C941="A",Inputs!$B$7,IF(C941="B",Inputs!$B$8,IF(C941="C",Inputs!$B$9,0)))</f>
        <v>1</v>
      </c>
      <c r="K941" s="2" t="n">
        <f aca="false">IF(AND(E941&lt;&gt;"",G941&lt;&gt;"",J941&gt;0),IF(I941&gt;=Inputs!$B$6,1,0),0)</f>
        <v>0</v>
      </c>
      <c r="L941" s="5" t="n">
        <v>1</v>
      </c>
      <c r="M941" s="5" t="n">
        <v>228.7635</v>
      </c>
      <c r="N941" s="5" t="n">
        <v>1.16</v>
      </c>
      <c r="O941" s="4" t="s">
        <v>64</v>
      </c>
      <c r="P941" s="2" t="n">
        <f aca="false">IF(K941=1,J941/G941^2,0)</f>
        <v>0</v>
      </c>
      <c r="Q941" s="2" t="n">
        <f aca="false">IF(K941=1,((E941-Result!$B$7*D941)/G941)^2,0)</f>
        <v>0</v>
      </c>
    </row>
    <row r="942" customFormat="false" ht="15" hidden="false" customHeight="false" outlineLevel="0" collapsed="false">
      <c r="A942" s="4" t="s">
        <v>38</v>
      </c>
      <c r="B942" s="4" t="s">
        <v>1008</v>
      </c>
      <c r="C942" s="4" t="s">
        <v>63</v>
      </c>
      <c r="D942" s="5" t="n">
        <v>344.4791</v>
      </c>
      <c r="E942" s="5" t="n">
        <v>3.74</v>
      </c>
      <c r="F942" s="5" t="n">
        <v>0.00508388705610401</v>
      </c>
      <c r="G942" s="5" t="n">
        <v>1.3972</v>
      </c>
      <c r="H942" s="2" t="n">
        <f aca="false">D942*F942</f>
        <v>1.75129283758836</v>
      </c>
      <c r="I942" s="2" t="n">
        <f aca="false">IF(G942="","",D942*1000000/Inputs!$B$4^2*Inputs!$B$5/G942)</f>
        <v>1.25289369543655</v>
      </c>
      <c r="J942" s="2" t="n">
        <f aca="false">IF(C942="A",Inputs!$B$7,IF(C942="B",Inputs!$B$8,IF(C942="C",Inputs!$B$9,0)))</f>
        <v>1</v>
      </c>
      <c r="K942" s="2" t="n">
        <f aca="false">IF(AND(E942&lt;&gt;"",G942&lt;&gt;"",J942&gt;0),IF(I942&gt;=Inputs!$B$6,1,0),0)</f>
        <v>0</v>
      </c>
      <c r="L942" s="5" t="n">
        <v>0</v>
      </c>
      <c r="M942" s="5" t="n">
        <v>344.4827</v>
      </c>
      <c r="N942" s="5" t="n">
        <v>1.75</v>
      </c>
      <c r="O942" s="4" t="s">
        <v>64</v>
      </c>
      <c r="P942" s="2" t="n">
        <f aca="false">IF(K942=1,J942/G942^2,0)</f>
        <v>0</v>
      </c>
      <c r="Q942" s="2" t="n">
        <f aca="false">IF(K942=1,((E942-Result!$B$7*D942)/G942)^2,0)</f>
        <v>0</v>
      </c>
    </row>
    <row r="943" customFormat="false" ht="15" hidden="false" customHeight="false" outlineLevel="0" collapsed="false">
      <c r="A943" s="4" t="s">
        <v>38</v>
      </c>
      <c r="B943" s="4" t="s">
        <v>1009</v>
      </c>
      <c r="C943" s="4" t="s">
        <v>63</v>
      </c>
      <c r="D943" s="5" t="n">
        <v>216.397</v>
      </c>
      <c r="E943" s="5" t="n">
        <v>1.21</v>
      </c>
      <c r="F943" s="5" t="n">
        <v>0.00508392336194234</v>
      </c>
      <c r="G943" s="5" t="n">
        <v>1.3972</v>
      </c>
      <c r="H943" s="2" t="n">
        <f aca="false">D943*F943</f>
        <v>1.10014576375424</v>
      </c>
      <c r="I943" s="2" t="n">
        <f aca="false">IF(G943="","",D943*1000000/Inputs!$B$4^2*Inputs!$B$5/G943)</f>
        <v>0.787050468406886</v>
      </c>
      <c r="J943" s="2" t="n">
        <f aca="false">IF(C943="A",Inputs!$B$7,IF(C943="B",Inputs!$B$8,IF(C943="C",Inputs!$B$9,0)))</f>
        <v>1</v>
      </c>
      <c r="K943" s="2" t="n">
        <f aca="false">IF(AND(E943&lt;&gt;"",G943&lt;&gt;"",J943&gt;0),IF(I943&gt;=Inputs!$B$6,1,0),0)</f>
        <v>0</v>
      </c>
      <c r="L943" s="5" t="n">
        <v>0</v>
      </c>
      <c r="M943" s="5" t="n">
        <v>216.399</v>
      </c>
      <c r="N943" s="5" t="n">
        <v>1.1</v>
      </c>
      <c r="O943" s="4" t="s">
        <v>64</v>
      </c>
      <c r="P943" s="2" t="n">
        <f aca="false">IF(K943=1,J943/G943^2,0)</f>
        <v>0</v>
      </c>
      <c r="Q943" s="2" t="n">
        <f aca="false">IF(K943=1,((E943-Result!$B$7*D943)/G943)^2,0)</f>
        <v>0</v>
      </c>
    </row>
    <row r="944" customFormat="false" ht="15" hidden="false" customHeight="false" outlineLevel="0" collapsed="false">
      <c r="A944" s="4" t="s">
        <v>38</v>
      </c>
      <c r="B944" s="4" t="s">
        <v>1010</v>
      </c>
      <c r="C944" s="4" t="s">
        <v>63</v>
      </c>
      <c r="D944" s="5" t="n">
        <v>332.1145</v>
      </c>
      <c r="E944" s="5" t="n">
        <v>1.1</v>
      </c>
      <c r="F944" s="5" t="n">
        <v>0.00508392854982691</v>
      </c>
      <c r="G944" s="5" t="n">
        <v>1.3972</v>
      </c>
      <c r="H944" s="2" t="n">
        <f aca="false">D944*F944</f>
        <v>1.68844638836149</v>
      </c>
      <c r="I944" s="2" t="n">
        <f aca="false">IF(G944="","",D944*1000000/Inputs!$B$4^2*Inputs!$B$5/G944)</f>
        <v>1.20792281219111</v>
      </c>
      <c r="J944" s="2" t="n">
        <f aca="false">IF(C944="A",Inputs!$B$7,IF(C944="B",Inputs!$B$8,IF(C944="C",Inputs!$B$9,0)))</f>
        <v>1</v>
      </c>
      <c r="K944" s="2" t="n">
        <f aca="false">IF(AND(E944&lt;&gt;"",G944&lt;&gt;"",J944&gt;0),IF(I944&gt;=Inputs!$B$6,1,0),0)</f>
        <v>0</v>
      </c>
      <c r="L944" s="5" t="n">
        <v>0</v>
      </c>
      <c r="M944" s="5" t="n">
        <v>332.1182</v>
      </c>
      <c r="N944" s="5" t="n">
        <v>1.69</v>
      </c>
      <c r="O944" s="4" t="s">
        <v>64</v>
      </c>
      <c r="P944" s="2" t="n">
        <f aca="false">IF(K944=1,J944/G944^2,0)</f>
        <v>0</v>
      </c>
      <c r="Q944" s="2" t="n">
        <f aca="false">IF(K944=1,((E944-Result!$B$7*D944)/G944)^2,0)</f>
        <v>0</v>
      </c>
    </row>
    <row r="945" customFormat="false" ht="15" hidden="false" customHeight="false" outlineLevel="0" collapsed="false">
      <c r="A945" s="4" t="s">
        <v>38</v>
      </c>
      <c r="B945" s="4" t="s">
        <v>1011</v>
      </c>
      <c r="C945" s="4" t="s">
        <v>63</v>
      </c>
      <c r="D945" s="5" t="n">
        <v>980.7587</v>
      </c>
      <c r="E945" s="5" t="n">
        <v>3.44</v>
      </c>
      <c r="F945" s="5" t="n">
        <v>0.00508401925145788</v>
      </c>
      <c r="G945" s="5" t="n">
        <v>1.3972</v>
      </c>
      <c r="H945" s="2" t="n">
        <f aca="false">D945*F945</f>
        <v>4.9861961118348</v>
      </c>
      <c r="I945" s="2" t="n">
        <f aca="false">IF(G945="","",D945*1000000/Inputs!$B$4^2*Inputs!$B$5/G945)</f>
        <v>3.56708546897198</v>
      </c>
      <c r="J945" s="2" t="n">
        <f aca="false">IF(C945="A",Inputs!$B$7,IF(C945="B",Inputs!$B$8,IF(C945="C",Inputs!$B$9,0)))</f>
        <v>1</v>
      </c>
      <c r="K945" s="2" t="n">
        <f aca="false">IF(AND(E945&lt;&gt;"",G945&lt;&gt;"",J945&gt;0),IF(I945&gt;=Inputs!$B$6,1,0),0)</f>
        <v>1</v>
      </c>
      <c r="L945" s="5" t="n">
        <v>1</v>
      </c>
      <c r="M945" s="5" t="n">
        <v>980.7735</v>
      </c>
      <c r="N945" s="5" t="n">
        <v>4.99</v>
      </c>
      <c r="O945" s="4" t="s">
        <v>64</v>
      </c>
      <c r="P945" s="2" t="n">
        <f aca="false">IF(K945=1,J945/G945^2,0)</f>
        <v>0.512251036775608</v>
      </c>
      <c r="Q945" s="2" t="n">
        <f aca="false">IF(K945=1,((E945-Result!$B$7*D945)/G945)^2,0)</f>
        <v>1.17794166721997</v>
      </c>
    </row>
    <row r="946" customFormat="false" ht="15" hidden="false" customHeight="false" outlineLevel="0" collapsed="false">
      <c r="A946" s="4" t="s">
        <v>38</v>
      </c>
      <c r="B946" s="4" t="s">
        <v>1012</v>
      </c>
      <c r="C946" s="4" t="s">
        <v>63</v>
      </c>
      <c r="D946" s="5" t="n">
        <v>369.6389</v>
      </c>
      <c r="E946" s="5" t="n">
        <v>1.03</v>
      </c>
      <c r="F946" s="5" t="n">
        <v>0.00508408113463711</v>
      </c>
      <c r="G946" s="5" t="n">
        <v>1.3972</v>
      </c>
      <c r="H946" s="2" t="n">
        <f aca="false">D946*F946</f>
        <v>1.87927415811801</v>
      </c>
      <c r="I946" s="2" t="n">
        <f aca="false">IF(G946="","",D946*1000000/Inputs!$B$4^2*Inputs!$B$5/G946)</f>
        <v>1.34440158313843</v>
      </c>
      <c r="J946" s="2" t="n">
        <f aca="false">IF(C946="A",Inputs!$B$7,IF(C946="B",Inputs!$B$8,IF(C946="C",Inputs!$B$9,0)))</f>
        <v>1</v>
      </c>
      <c r="K946" s="2" t="n">
        <f aca="false">IF(AND(E946&lt;&gt;"",G946&lt;&gt;"",J946&gt;0),IF(I946&gt;=Inputs!$B$6,1,0),0)</f>
        <v>0</v>
      </c>
      <c r="L946" s="5" t="n">
        <v>0</v>
      </c>
      <c r="M946" s="5" t="n">
        <v>369.643</v>
      </c>
      <c r="N946" s="5" t="n">
        <v>1.88</v>
      </c>
      <c r="O946" s="4" t="s">
        <v>64</v>
      </c>
      <c r="P946" s="2" t="n">
        <f aca="false">IF(K946=1,J946/G946^2,0)</f>
        <v>0</v>
      </c>
      <c r="Q946" s="2" t="n">
        <f aca="false">IF(K946=1,((E946-Result!$B$7*D946)/G946)^2,0)</f>
        <v>0</v>
      </c>
    </row>
    <row r="947" customFormat="false" ht="15" hidden="false" customHeight="false" outlineLevel="0" collapsed="false">
      <c r="A947" s="4" t="s">
        <v>38</v>
      </c>
      <c r="B947" s="4" t="s">
        <v>1013</v>
      </c>
      <c r="C947" s="4" t="s">
        <v>63</v>
      </c>
      <c r="D947" s="5" t="n">
        <v>279.0086</v>
      </c>
      <c r="E947" s="5" t="n">
        <v>1.31</v>
      </c>
      <c r="F947" s="5" t="n">
        <v>0.00508404490775438</v>
      </c>
      <c r="G947" s="5" t="n">
        <v>1.3972</v>
      </c>
      <c r="H947" s="2" t="n">
        <f aca="false">D947*F947</f>
        <v>1.41849225204968</v>
      </c>
      <c r="I947" s="2" t="n">
        <f aca="false">IF(G947="","",D947*1000000/Inputs!$B$4^2*Inputs!$B$5/G947)</f>
        <v>1.01477307596478</v>
      </c>
      <c r="J947" s="2" t="n">
        <f aca="false">IF(C947="A",Inputs!$B$7,IF(C947="B",Inputs!$B$8,IF(C947="C",Inputs!$B$9,0)))</f>
        <v>1</v>
      </c>
      <c r="K947" s="2" t="n">
        <f aca="false">IF(AND(E947&lt;&gt;"",G947&lt;&gt;"",J947&gt;0),IF(I947&gt;=Inputs!$B$6,1,0),0)</f>
        <v>0</v>
      </c>
      <c r="L947" s="5" t="n">
        <v>0</v>
      </c>
      <c r="M947" s="5" t="n">
        <v>279.0123</v>
      </c>
      <c r="N947" s="5" t="n">
        <v>1.42</v>
      </c>
      <c r="O947" s="4" t="s">
        <v>64</v>
      </c>
      <c r="P947" s="2" t="n">
        <f aca="false">IF(K947=1,J947/G947^2,0)</f>
        <v>0</v>
      </c>
      <c r="Q947" s="2" t="n">
        <f aca="false">IF(K947=1,((E947-Result!$B$7*D947)/G947)^2,0)</f>
        <v>0</v>
      </c>
    </row>
    <row r="948" customFormat="false" ht="15" hidden="false" customHeight="false" outlineLevel="0" collapsed="false">
      <c r="A948" s="4" t="s">
        <v>38</v>
      </c>
      <c r="B948" s="4" t="s">
        <v>1014</v>
      </c>
      <c r="C948" s="4" t="s">
        <v>63</v>
      </c>
      <c r="D948" s="5" t="n">
        <v>582.3533</v>
      </c>
      <c r="E948" s="5" t="n">
        <v>1.93</v>
      </c>
      <c r="F948" s="5" t="n">
        <v>0.00508406153999003</v>
      </c>
      <c r="G948" s="5" t="n">
        <v>1.3972</v>
      </c>
      <c r="H948" s="2" t="n">
        <f aca="false">D948*F948</f>
        <v>2.96072001521628</v>
      </c>
      <c r="I948" s="2" t="n">
        <f aca="false">IF(G948="","",D948*1000000/Inputs!$B$4^2*Inputs!$B$5/G948)</f>
        <v>2.11805818723594</v>
      </c>
      <c r="J948" s="2" t="n">
        <f aca="false">IF(C948="A",Inputs!$B$7,IF(C948="B",Inputs!$B$8,IF(C948="C",Inputs!$B$9,0)))</f>
        <v>1</v>
      </c>
      <c r="K948" s="2" t="n">
        <f aca="false">IF(AND(E948&lt;&gt;"",G948&lt;&gt;"",J948&gt;0),IF(I948&gt;=Inputs!$B$6,1,0),0)</f>
        <v>1</v>
      </c>
      <c r="L948" s="5" t="n">
        <v>0</v>
      </c>
      <c r="M948" s="5" t="n">
        <v>582.3614</v>
      </c>
      <c r="N948" s="5" t="n">
        <v>2.96</v>
      </c>
      <c r="O948" s="4" t="s">
        <v>64</v>
      </c>
      <c r="P948" s="2" t="n">
        <f aca="false">IF(K948=1,J948/G948^2,0)</f>
        <v>0.512251036775608</v>
      </c>
      <c r="Q948" s="2" t="n">
        <f aca="false">IF(K948=1,((E948-Result!$B$7*D948)/G948)^2,0)</f>
        <v>0.525673755357304</v>
      </c>
    </row>
    <row r="949" customFormat="false" ht="15" hidden="false" customHeight="false" outlineLevel="0" collapsed="false">
      <c r="A949" s="4" t="s">
        <v>38</v>
      </c>
      <c r="B949" s="4" t="s">
        <v>1015</v>
      </c>
      <c r="C949" s="4" t="s">
        <v>63</v>
      </c>
      <c r="D949" s="5" t="n">
        <v>369.2251</v>
      </c>
      <c r="E949" s="5" t="n">
        <v>2.13</v>
      </c>
      <c r="F949" s="5" t="n">
        <v>0.00508421384291963</v>
      </c>
      <c r="G949" s="5" t="n">
        <v>1.3972</v>
      </c>
      <c r="H949" s="2" t="n">
        <f aca="false">D949*F949</f>
        <v>1.87721936457339</v>
      </c>
      <c r="I949" s="2" t="n">
        <f aca="false">IF(G949="","",D949*1000000/Inputs!$B$4^2*Inputs!$B$5/G949)</f>
        <v>1.3428965646593</v>
      </c>
      <c r="J949" s="2" t="n">
        <f aca="false">IF(C949="A",Inputs!$B$7,IF(C949="B",Inputs!$B$8,IF(C949="C",Inputs!$B$9,0)))</f>
        <v>1</v>
      </c>
      <c r="K949" s="2" t="n">
        <f aca="false">IF(AND(E949&lt;&gt;"",G949&lt;&gt;"",J949&gt;0),IF(I949&gt;=Inputs!$B$6,1,0),0)</f>
        <v>0</v>
      </c>
      <c r="L949" s="5" t="n">
        <v>0</v>
      </c>
      <c r="M949" s="5" t="n">
        <v>369.2295</v>
      </c>
      <c r="N949" s="5" t="n">
        <v>1.88</v>
      </c>
      <c r="O949" s="4" t="s">
        <v>64</v>
      </c>
      <c r="P949" s="2" t="n">
        <f aca="false">IF(K949=1,J949/G949^2,0)</f>
        <v>0</v>
      </c>
      <c r="Q949" s="2" t="n">
        <f aca="false">IF(K949=1,((E949-Result!$B$7*D949)/G949)^2,0)</f>
        <v>0</v>
      </c>
    </row>
    <row r="950" customFormat="false" ht="15" hidden="false" customHeight="false" outlineLevel="0" collapsed="false">
      <c r="A950" s="4" t="s">
        <v>38</v>
      </c>
      <c r="B950" s="4" t="s">
        <v>1016</v>
      </c>
      <c r="C950" s="4" t="s">
        <v>63</v>
      </c>
      <c r="D950" s="5" t="n">
        <v>672.5688</v>
      </c>
      <c r="E950" s="5" t="n">
        <v>2.75</v>
      </c>
      <c r="F950" s="5" t="n">
        <v>0.00508415207451617</v>
      </c>
      <c r="G950" s="5" t="n">
        <v>1.3972</v>
      </c>
      <c r="H950" s="2" t="n">
        <f aca="false">D950*F950</f>
        <v>3.41944205977485</v>
      </c>
      <c r="I950" s="2" t="n">
        <f aca="false">IF(G950="","",D950*1000000/Inputs!$B$4^2*Inputs!$B$5/G950)</f>
        <v>2.4461780388631</v>
      </c>
      <c r="J950" s="2" t="n">
        <f aca="false">IF(C950="A",Inputs!$B$7,IF(C950="B",Inputs!$B$8,IF(C950="C",Inputs!$B$9,0)))</f>
        <v>1</v>
      </c>
      <c r="K950" s="2" t="n">
        <f aca="false">IF(AND(E950&lt;&gt;"",G950&lt;&gt;"",J950&gt;0),IF(I950&gt;=Inputs!$B$6,1,0),0)</f>
        <v>1</v>
      </c>
      <c r="L950" s="5" t="n">
        <v>1</v>
      </c>
      <c r="M950" s="5" t="n">
        <v>672.5786</v>
      </c>
      <c r="N950" s="5" t="n">
        <v>3.42</v>
      </c>
      <c r="O950" s="4" t="s">
        <v>64</v>
      </c>
      <c r="P950" s="2" t="n">
        <f aca="false">IF(K950=1,J950/G950^2,0)</f>
        <v>0.512251036775608</v>
      </c>
      <c r="Q950" s="2" t="n">
        <f aca="false">IF(K950=1,((E950-Result!$B$7*D950)/G950)^2,0)</f>
        <v>0.215717871036969</v>
      </c>
    </row>
    <row r="951" customFormat="false" ht="15" hidden="false" customHeight="false" outlineLevel="0" collapsed="false">
      <c r="A951" s="4" t="s">
        <v>38</v>
      </c>
      <c r="B951" s="4" t="s">
        <v>1017</v>
      </c>
      <c r="C951" s="4" t="s">
        <v>63</v>
      </c>
      <c r="D951" s="5" t="n">
        <v>475.3153</v>
      </c>
      <c r="E951" s="5" t="n">
        <v>4.26</v>
      </c>
      <c r="F951" s="5" t="n">
        <v>0.00508442883957997</v>
      </c>
      <c r="G951" s="5" t="n">
        <v>1.3972</v>
      </c>
      <c r="H951" s="2" t="n">
        <f aca="false">D951*F951</f>
        <v>2.41670681921361</v>
      </c>
      <c r="I951" s="2" t="n">
        <f aca="false">IF(G951="","",D951*1000000/Inputs!$B$4^2*Inputs!$B$5/G951)</f>
        <v>1.72875376971936</v>
      </c>
      <c r="J951" s="2" t="n">
        <f aca="false">IF(C951="A",Inputs!$B$7,IF(C951="B",Inputs!$B$8,IF(C951="C",Inputs!$B$9,0)))</f>
        <v>1</v>
      </c>
      <c r="K951" s="2" t="n">
        <f aca="false">IF(AND(E951&lt;&gt;"",G951&lt;&gt;"",J951&gt;0),IF(I951&gt;=Inputs!$B$6,1,0),0)</f>
        <v>0</v>
      </c>
      <c r="L951" s="5" t="n">
        <v>1</v>
      </c>
      <c r="M951" s="5" t="n">
        <v>475.3219</v>
      </c>
      <c r="N951" s="5" t="n">
        <v>2.42</v>
      </c>
      <c r="O951" s="4" t="s">
        <v>64</v>
      </c>
      <c r="P951" s="2" t="n">
        <f aca="false">IF(K951=1,J951/G951^2,0)</f>
        <v>0</v>
      </c>
      <c r="Q951" s="2" t="n">
        <f aca="false">IF(K951=1,((E951-Result!$B$7*D951)/G951)^2,0)</f>
        <v>0</v>
      </c>
    </row>
    <row r="952" customFormat="false" ht="15" hidden="false" customHeight="false" outlineLevel="0" collapsed="false">
      <c r="A952" s="4" t="s">
        <v>38</v>
      </c>
      <c r="B952" s="4" t="s">
        <v>1018</v>
      </c>
      <c r="C952" s="4" t="s">
        <v>63</v>
      </c>
      <c r="D952" s="5" t="n">
        <v>609.9516</v>
      </c>
      <c r="E952" s="5" t="n">
        <v>5.02</v>
      </c>
      <c r="F952" s="5" t="n">
        <v>0.00508457265150225</v>
      </c>
      <c r="G952" s="5" t="n">
        <v>1.3972</v>
      </c>
      <c r="H952" s="2" t="n">
        <f aca="false">D952*F952</f>
        <v>3.10134322410004</v>
      </c>
      <c r="I952" s="2" t="n">
        <f aca="false">IF(G952="","",D952*1000000/Inputs!$B$4^2*Inputs!$B$5/G952)</f>
        <v>2.21843506372792</v>
      </c>
      <c r="J952" s="2" t="n">
        <f aca="false">IF(C952="A",Inputs!$B$7,IF(C952="B",Inputs!$B$8,IF(C952="C",Inputs!$B$9,0)))</f>
        <v>1</v>
      </c>
      <c r="K952" s="2" t="n">
        <f aca="false">IF(AND(E952&lt;&gt;"",G952&lt;&gt;"",J952&gt;0),IF(I952&gt;=Inputs!$B$6,1,0),0)</f>
        <v>1</v>
      </c>
      <c r="L952" s="5" t="n">
        <v>1</v>
      </c>
      <c r="M952" s="5" t="n">
        <v>609.9606</v>
      </c>
      <c r="N952" s="5" t="n">
        <v>3.1</v>
      </c>
      <c r="O952" s="4" t="s">
        <v>64</v>
      </c>
      <c r="P952" s="2" t="n">
        <f aca="false">IF(K952=1,J952/G952^2,0)</f>
        <v>0.512251036775608</v>
      </c>
      <c r="Q952" s="2" t="n">
        <f aca="false">IF(K952=1,((E952-Result!$B$7*D952)/G952)^2,0)</f>
        <v>1.92296327021236</v>
      </c>
    </row>
    <row r="953" customFormat="false" ht="15" hidden="false" customHeight="false" outlineLevel="0" collapsed="false">
      <c r="A953" s="4" t="s">
        <v>38</v>
      </c>
      <c r="B953" s="4" t="s">
        <v>1019</v>
      </c>
      <c r="C953" s="4" t="s">
        <v>63</v>
      </c>
      <c r="D953" s="5" t="n">
        <v>621.78</v>
      </c>
      <c r="E953" s="5" t="n">
        <v>1.56</v>
      </c>
      <c r="F953" s="5" t="n">
        <v>0.00508450795593769</v>
      </c>
      <c r="G953" s="5" t="n">
        <v>1.3972</v>
      </c>
      <c r="H953" s="2" t="n">
        <f aca="false">D953*F953</f>
        <v>3.16144535684293</v>
      </c>
      <c r="I953" s="2" t="n">
        <f aca="false">IF(G953="","",D953*1000000/Inputs!$B$4^2*Inputs!$B$5/G953)</f>
        <v>2.26145575144773</v>
      </c>
      <c r="J953" s="2" t="n">
        <f aca="false">IF(C953="A",Inputs!$B$7,IF(C953="B",Inputs!$B$8,IF(C953="C",Inputs!$B$9,0)))</f>
        <v>1</v>
      </c>
      <c r="K953" s="2" t="n">
        <f aca="false">IF(AND(E953&lt;&gt;"",G953&lt;&gt;"",J953&gt;0),IF(I953&gt;=Inputs!$B$6,1,0),0)</f>
        <v>1</v>
      </c>
      <c r="L953" s="5" t="n">
        <v>1</v>
      </c>
      <c r="M953" s="5" t="n">
        <v>621.7893</v>
      </c>
      <c r="N953" s="5" t="n">
        <v>3.16</v>
      </c>
      <c r="O953" s="4" t="s">
        <v>64</v>
      </c>
      <c r="P953" s="2" t="n">
        <f aca="false">IF(K953=1,J953/G953^2,0)</f>
        <v>0.512251036775608</v>
      </c>
      <c r="Q953" s="2" t="n">
        <f aca="false">IF(K953=1,((E953-Result!$B$7*D953)/G953)^2,0)</f>
        <v>1.28245446393994</v>
      </c>
    </row>
    <row r="954" customFormat="false" ht="15" hidden="false" customHeight="false" outlineLevel="0" collapsed="false">
      <c r="A954" s="4" t="s">
        <v>38</v>
      </c>
      <c r="B954" s="4" t="s">
        <v>1020</v>
      </c>
      <c r="C954" s="4" t="s">
        <v>63</v>
      </c>
      <c r="D954" s="5" t="n">
        <v>396.463</v>
      </c>
      <c r="E954" s="5" t="n">
        <v>1.83</v>
      </c>
      <c r="F954" s="5" t="n">
        <v>0.0050846410510162</v>
      </c>
      <c r="G954" s="5" t="n">
        <v>1.3972</v>
      </c>
      <c r="H954" s="2" t="n">
        <f aca="false">D954*F954</f>
        <v>2.01587204500904</v>
      </c>
      <c r="I954" s="2" t="n">
        <f aca="false">IF(G954="","",D954*1000000/Inputs!$B$4^2*Inputs!$B$5/G954)</f>
        <v>1.4419626420699</v>
      </c>
      <c r="J954" s="2" t="n">
        <f aca="false">IF(C954="A",Inputs!$B$7,IF(C954="B",Inputs!$B$8,IF(C954="C",Inputs!$B$9,0)))</f>
        <v>1</v>
      </c>
      <c r="K954" s="2" t="n">
        <f aca="false">IF(AND(E954&lt;&gt;"",G954&lt;&gt;"",J954&gt;0),IF(I954&gt;=Inputs!$B$6,1,0),0)</f>
        <v>0</v>
      </c>
      <c r="L954" s="5" t="n">
        <v>1</v>
      </c>
      <c r="M954" s="5" t="n">
        <v>396.4687</v>
      </c>
      <c r="N954" s="5" t="n">
        <v>2.02</v>
      </c>
      <c r="O954" s="4" t="s">
        <v>64</v>
      </c>
      <c r="P954" s="2" t="n">
        <f aca="false">IF(K954=1,J954/G954^2,0)</f>
        <v>0</v>
      </c>
      <c r="Q954" s="2" t="n">
        <f aca="false">IF(K954=1,((E954-Result!$B$7*D954)/G954)^2,0)</f>
        <v>0</v>
      </c>
    </row>
    <row r="955" customFormat="false" ht="15" hidden="false" customHeight="false" outlineLevel="0" collapsed="false">
      <c r="A955" s="4" t="s">
        <v>38</v>
      </c>
      <c r="B955" s="4" t="s">
        <v>1021</v>
      </c>
      <c r="C955" s="4" t="s">
        <v>63</v>
      </c>
      <c r="D955" s="5" t="n">
        <v>626.6404</v>
      </c>
      <c r="E955" s="5" t="n">
        <v>4.43</v>
      </c>
      <c r="F955" s="5" t="n">
        <v>0.00508482716613356</v>
      </c>
      <c r="G955" s="5" t="n">
        <v>1.3972</v>
      </c>
      <c r="H955" s="2" t="n">
        <f aca="false">D955*F955</f>
        <v>3.1863581293168</v>
      </c>
      <c r="I955" s="2" t="n">
        <f aca="false">IF(G955="","",D955*1000000/Inputs!$B$4^2*Inputs!$B$5/G955)</f>
        <v>2.27913335370952</v>
      </c>
      <c r="J955" s="2" t="n">
        <f aca="false">IF(C955="A",Inputs!$B$7,IF(C955="B",Inputs!$B$8,IF(C955="C",Inputs!$B$9,0)))</f>
        <v>1</v>
      </c>
      <c r="K955" s="2" t="n">
        <f aca="false">IF(AND(E955&lt;&gt;"",G955&lt;&gt;"",J955&gt;0),IF(I955&gt;=Inputs!$B$6,1,0),0)</f>
        <v>1</v>
      </c>
      <c r="L955" s="5" t="n">
        <v>1</v>
      </c>
      <c r="M955" s="5" t="n">
        <v>626.6501</v>
      </c>
      <c r="N955" s="5" t="n">
        <v>3.19</v>
      </c>
      <c r="O955" s="4" t="s">
        <v>64</v>
      </c>
      <c r="P955" s="2" t="n">
        <f aca="false">IF(K955=1,J955/G955^2,0)</f>
        <v>0.512251036775608</v>
      </c>
      <c r="Q955" s="2" t="n">
        <f aca="false">IF(K955=1,((E955-Result!$B$7*D955)/G955)^2,0)</f>
        <v>0.817348213448934</v>
      </c>
    </row>
    <row r="956" customFormat="false" ht="15" hidden="false" customHeight="false" outlineLevel="0" collapsed="false">
      <c r="A956" s="4" t="s">
        <v>38</v>
      </c>
      <c r="B956" s="4" t="s">
        <v>1022</v>
      </c>
      <c r="C956" s="4" t="s">
        <v>63</v>
      </c>
      <c r="D956" s="5" t="n">
        <v>614.2951</v>
      </c>
      <c r="E956" s="5" t="n">
        <v>0.93</v>
      </c>
      <c r="F956" s="5" t="n">
        <v>0.00508481664261314</v>
      </c>
      <c r="G956" s="5" t="n">
        <v>1.3972</v>
      </c>
      <c r="H956" s="2" t="n">
        <f aca="false">D956*F956</f>
        <v>3.1235779479557</v>
      </c>
      <c r="I956" s="2" t="n">
        <f aca="false">IF(G956="","",D956*1000000/Inputs!$B$4^2*Inputs!$B$5/G956)</f>
        <v>2.23423266586438</v>
      </c>
      <c r="J956" s="2" t="n">
        <f aca="false">IF(C956="A",Inputs!$B$7,IF(C956="B",Inputs!$B$8,IF(C956="C",Inputs!$B$9,0)))</f>
        <v>1</v>
      </c>
      <c r="K956" s="2" t="n">
        <f aca="false">IF(AND(E956&lt;&gt;"",G956&lt;&gt;"",J956&gt;0),IF(I956&gt;=Inputs!$B$6,1,0),0)</f>
        <v>1</v>
      </c>
      <c r="L956" s="5" t="n">
        <v>0</v>
      </c>
      <c r="M956" s="5" t="n">
        <v>614.304</v>
      </c>
      <c r="N956" s="5" t="n">
        <v>3.12</v>
      </c>
      <c r="O956" s="4" t="s">
        <v>64</v>
      </c>
      <c r="P956" s="2" t="n">
        <f aca="false">IF(K956=1,J956/G956^2,0)</f>
        <v>0.512251036775608</v>
      </c>
      <c r="Q956" s="2" t="n">
        <f aca="false">IF(K956=1,((E956-Result!$B$7*D956)/G956)^2,0)</f>
        <v>2.42201999541466</v>
      </c>
    </row>
    <row r="957" customFormat="false" ht="15" hidden="false" customHeight="false" outlineLevel="0" collapsed="false">
      <c r="A957" s="4" t="s">
        <v>38</v>
      </c>
      <c r="B957" s="4" t="s">
        <v>1023</v>
      </c>
      <c r="C957" s="4" t="s">
        <v>63</v>
      </c>
      <c r="D957" s="5" t="n">
        <v>722.5268</v>
      </c>
      <c r="E957" s="5" t="n">
        <v>2.8</v>
      </c>
      <c r="F957" s="5" t="n">
        <v>0.00508485342875097</v>
      </c>
      <c r="G957" s="5" t="n">
        <v>1.3972</v>
      </c>
      <c r="H957" s="2" t="n">
        <f aca="false">D957*F957</f>
        <v>3.67394287634446</v>
      </c>
      <c r="I957" s="2" t="n">
        <f aca="false">IF(G957="","",D957*1000000/Inputs!$B$4^2*Inputs!$B$5/G957)</f>
        <v>2.62787865070463</v>
      </c>
      <c r="J957" s="2" t="n">
        <f aca="false">IF(C957="A",Inputs!$B$7,IF(C957="B",Inputs!$B$8,IF(C957="C",Inputs!$B$9,0)))</f>
        <v>1</v>
      </c>
      <c r="K957" s="2" t="n">
        <f aca="false">IF(AND(E957&lt;&gt;"",G957&lt;&gt;"",J957&gt;0),IF(I957&gt;=Inputs!$B$6,1,0),0)</f>
        <v>1</v>
      </c>
      <c r="L957" s="5" t="n">
        <v>1</v>
      </c>
      <c r="M957" s="5" t="n">
        <v>722.5393</v>
      </c>
      <c r="N957" s="5" t="n">
        <v>3.67</v>
      </c>
      <c r="O957" s="4" t="s">
        <v>64</v>
      </c>
      <c r="P957" s="2" t="n">
        <f aca="false">IF(K957=1,J957/G957^2,0)</f>
        <v>0.512251036775608</v>
      </c>
      <c r="Q957" s="2" t="n">
        <f aca="false">IF(K957=1,((E957-Result!$B$7*D957)/G957)^2,0)</f>
        <v>0.37132722802679</v>
      </c>
    </row>
    <row r="958" customFormat="false" ht="15" hidden="false" customHeight="false" outlineLevel="0" collapsed="false">
      <c r="A958" s="4" t="s">
        <v>38</v>
      </c>
      <c r="B958" s="4" t="s">
        <v>1024</v>
      </c>
      <c r="C958" s="4" t="s">
        <v>63</v>
      </c>
      <c r="D958" s="5" t="n">
        <v>444.4924</v>
      </c>
      <c r="E958" s="5" t="n">
        <v>1.54</v>
      </c>
      <c r="F958" s="5" t="n">
        <v>0.00508498346622025</v>
      </c>
      <c r="G958" s="5" t="n">
        <v>1.3972</v>
      </c>
      <c r="H958" s="2" t="n">
        <f aca="false">D958*F958</f>
        <v>2.26023650486056</v>
      </c>
      <c r="I958" s="2" t="n">
        <f aca="false">IF(G958="","",D958*1000000/Inputs!$B$4^2*Inputs!$B$5/G958)</f>
        <v>1.61664880577504</v>
      </c>
      <c r="J958" s="2" t="n">
        <f aca="false">IF(C958="A",Inputs!$B$7,IF(C958="B",Inputs!$B$8,IF(C958="C",Inputs!$B$9,0)))</f>
        <v>1</v>
      </c>
      <c r="K958" s="2" t="n">
        <f aca="false">IF(AND(E958&lt;&gt;"",G958&lt;&gt;"",J958&gt;0),IF(I958&gt;=Inputs!$B$6,1,0),0)</f>
        <v>0</v>
      </c>
      <c r="L958" s="5" t="n">
        <v>0</v>
      </c>
      <c r="M958" s="5" t="n">
        <v>444.4992</v>
      </c>
      <c r="N958" s="5" t="n">
        <v>2.26</v>
      </c>
      <c r="O958" s="4" t="s">
        <v>64</v>
      </c>
      <c r="P958" s="2" t="n">
        <f aca="false">IF(K958=1,J958/G958^2,0)</f>
        <v>0</v>
      </c>
      <c r="Q958" s="2" t="n">
        <f aca="false">IF(K958=1,((E958-Result!$B$7*D958)/G958)^2,0)</f>
        <v>0</v>
      </c>
    </row>
    <row r="959" customFormat="false" ht="15" hidden="false" customHeight="false" outlineLevel="0" collapsed="false">
      <c r="A959" s="4" t="s">
        <v>38</v>
      </c>
      <c r="B959" s="4" t="s">
        <v>1025</v>
      </c>
      <c r="C959" s="4" t="s">
        <v>63</v>
      </c>
      <c r="D959" s="5" t="n">
        <v>336.2579</v>
      </c>
      <c r="E959" s="5" t="n">
        <v>-0.33</v>
      </c>
      <c r="F959" s="5" t="n">
        <v>0.00508495829234198</v>
      </c>
      <c r="G959" s="5" t="n">
        <v>1.3972</v>
      </c>
      <c r="H959" s="2" t="n">
        <f aca="false">D959*F959</f>
        <v>1.7098573969705</v>
      </c>
      <c r="I959" s="2" t="n">
        <f aca="false">IF(G959="","",D959*1000000/Inputs!$B$4^2*Inputs!$B$5/G959)</f>
        <v>1.22299263714615</v>
      </c>
      <c r="J959" s="2" t="n">
        <f aca="false">IF(C959="A",Inputs!$B$7,IF(C959="B",Inputs!$B$8,IF(C959="C",Inputs!$B$9,0)))</f>
        <v>1</v>
      </c>
      <c r="K959" s="2" t="n">
        <f aca="false">IF(AND(E959&lt;&gt;"",G959&lt;&gt;"",J959&gt;0),IF(I959&gt;=Inputs!$B$6,1,0),0)</f>
        <v>0</v>
      </c>
      <c r="L959" s="5" t="n">
        <v>1</v>
      </c>
      <c r="M959" s="5" t="n">
        <v>336.264</v>
      </c>
      <c r="N959" s="5" t="n">
        <v>1.71</v>
      </c>
      <c r="O959" s="4" t="s">
        <v>64</v>
      </c>
      <c r="P959" s="2" t="n">
        <f aca="false">IF(K959=1,J959/G959^2,0)</f>
        <v>0</v>
      </c>
      <c r="Q959" s="2" t="n">
        <f aca="false">IF(K959=1,((E959-Result!$B$7*D959)/G959)^2,0)</f>
        <v>0</v>
      </c>
    </row>
    <row r="960" customFormat="false" ht="15" hidden="false" customHeight="false" outlineLevel="0" collapsed="false">
      <c r="A960" s="4" t="s">
        <v>38</v>
      </c>
      <c r="B960" s="4" t="s">
        <v>1026</v>
      </c>
      <c r="C960" s="4" t="s">
        <v>63</v>
      </c>
      <c r="D960" s="5" t="n">
        <v>906.5813</v>
      </c>
      <c r="E960" s="5" t="n">
        <v>5.24</v>
      </c>
      <c r="F960" s="5" t="n">
        <v>0.00508504705120704</v>
      </c>
      <c r="G960" s="5" t="n">
        <v>1.3972</v>
      </c>
      <c r="H960" s="2" t="n">
        <f aca="false">D960*F960</f>
        <v>4.61000856624445</v>
      </c>
      <c r="I960" s="2" t="n">
        <f aca="false">IF(G960="","",D960*1000000/Inputs!$B$4^2*Inputs!$B$5/G960)</f>
        <v>3.29729726758654</v>
      </c>
      <c r="J960" s="2" t="n">
        <f aca="false">IF(C960="A",Inputs!$B$7,IF(C960="B",Inputs!$B$8,IF(C960="C",Inputs!$B$9,0)))</f>
        <v>1</v>
      </c>
      <c r="K960" s="2" t="n">
        <f aca="false">IF(AND(E960&lt;&gt;"",G960&lt;&gt;"",J960&gt;0),IF(I960&gt;=Inputs!$B$6,1,0),0)</f>
        <v>1</v>
      </c>
      <c r="L960" s="5" t="n">
        <v>1</v>
      </c>
      <c r="M960" s="5" t="n">
        <v>906.5975</v>
      </c>
      <c r="N960" s="5" t="n">
        <v>4.61</v>
      </c>
      <c r="O960" s="4" t="s">
        <v>64</v>
      </c>
      <c r="P960" s="2" t="n">
        <f aca="false">IF(K960=1,J960/G960^2,0)</f>
        <v>0.512251036775608</v>
      </c>
      <c r="Q960" s="2" t="n">
        <f aca="false">IF(K960=1,((E960-Result!$B$7*D960)/G960)^2,0)</f>
        <v>0.222085781654803</v>
      </c>
    </row>
    <row r="961" customFormat="false" ht="15" hidden="false" customHeight="false" outlineLevel="0" collapsed="false">
      <c r="A961" s="4" t="s">
        <v>38</v>
      </c>
      <c r="B961" s="4" t="s">
        <v>1027</v>
      </c>
      <c r="C961" s="4" t="s">
        <v>63</v>
      </c>
      <c r="D961" s="5" t="n">
        <v>394.3592</v>
      </c>
      <c r="E961" s="5" t="n">
        <v>3.21</v>
      </c>
      <c r="F961" s="5" t="n">
        <v>0.00508524254712303</v>
      </c>
      <c r="G961" s="5" t="n">
        <v>1.3972</v>
      </c>
      <c r="H961" s="2" t="n">
        <f aca="false">D961*F961</f>
        <v>2.0054121826894</v>
      </c>
      <c r="I961" s="2" t="n">
        <f aca="false">IF(G961="","",D961*1000000/Inputs!$B$4^2*Inputs!$B$5/G961)</f>
        <v>1.43431097972969</v>
      </c>
      <c r="J961" s="2" t="n">
        <f aca="false">IF(C961="A",Inputs!$B$7,IF(C961="B",Inputs!$B$8,IF(C961="C",Inputs!$B$9,0)))</f>
        <v>1</v>
      </c>
      <c r="K961" s="2" t="n">
        <f aca="false">IF(AND(E961&lt;&gt;"",G961&lt;&gt;"",J961&gt;0),IF(I961&gt;=Inputs!$B$6,1,0),0)</f>
        <v>0</v>
      </c>
      <c r="L961" s="5" t="n">
        <v>0</v>
      </c>
      <c r="M961" s="5" t="n">
        <v>394.3644</v>
      </c>
      <c r="N961" s="5" t="n">
        <v>2</v>
      </c>
      <c r="O961" s="4" t="s">
        <v>64</v>
      </c>
      <c r="P961" s="2" t="n">
        <f aca="false">IF(K961=1,J961/G961^2,0)</f>
        <v>0</v>
      </c>
      <c r="Q961" s="2" t="n">
        <f aca="false">IF(K961=1,((E961-Result!$B$7*D961)/G961)^2,0)</f>
        <v>0</v>
      </c>
    </row>
    <row r="962" customFormat="false" ht="15" hidden="false" customHeight="false" outlineLevel="0" collapsed="false">
      <c r="A962" s="4" t="s">
        <v>38</v>
      </c>
      <c r="B962" s="4" t="s">
        <v>1028</v>
      </c>
      <c r="C962" s="4" t="s">
        <v>63</v>
      </c>
      <c r="D962" s="5" t="n">
        <v>415.9429</v>
      </c>
      <c r="E962" s="5" t="n">
        <v>1.65</v>
      </c>
      <c r="F962" s="5" t="n">
        <v>0.00508517773782924</v>
      </c>
      <c r="G962" s="5" t="n">
        <v>1.3972</v>
      </c>
      <c r="H962" s="2" t="n">
        <f aca="false">D962*F962</f>
        <v>2.11514357528813</v>
      </c>
      <c r="I962" s="2" t="n">
        <f aca="false">IF(G962="","",D962*1000000/Inputs!$B$4^2*Inputs!$B$5/G962)</f>
        <v>1.51281235079746</v>
      </c>
      <c r="J962" s="2" t="n">
        <f aca="false">IF(C962="A",Inputs!$B$7,IF(C962="B",Inputs!$B$8,IF(C962="C",Inputs!$B$9,0)))</f>
        <v>1</v>
      </c>
      <c r="K962" s="2" t="n">
        <f aca="false">IF(AND(E962&lt;&gt;"",G962&lt;&gt;"",J962&gt;0),IF(I962&gt;=Inputs!$B$6,1,0),0)</f>
        <v>0</v>
      </c>
      <c r="L962" s="5" t="n">
        <v>1</v>
      </c>
      <c r="M962" s="5" t="n">
        <v>415.9497</v>
      </c>
      <c r="N962" s="5" t="n">
        <v>2.11</v>
      </c>
      <c r="O962" s="4" t="s">
        <v>64</v>
      </c>
      <c r="P962" s="2" t="n">
        <f aca="false">IF(K962=1,J962/G962^2,0)</f>
        <v>0</v>
      </c>
      <c r="Q962" s="2" t="n">
        <f aca="false">IF(K962=1,((E962-Result!$B$7*D962)/G962)^2,0)</f>
        <v>0</v>
      </c>
    </row>
    <row r="963" customFormat="false" ht="15" hidden="false" customHeight="false" outlineLevel="0" collapsed="false">
      <c r="A963" s="4" t="s">
        <v>38</v>
      </c>
      <c r="B963" s="4" t="s">
        <v>1029</v>
      </c>
      <c r="C963" s="4" t="s">
        <v>63</v>
      </c>
      <c r="D963" s="5" t="n">
        <v>310.5994</v>
      </c>
      <c r="E963" s="5" t="n">
        <v>1.56</v>
      </c>
      <c r="F963" s="5" t="n">
        <v>0.0050851896194328</v>
      </c>
      <c r="G963" s="5" t="n">
        <v>1.3972</v>
      </c>
      <c r="H963" s="2" t="n">
        <f aca="false">D963*F963</f>
        <v>1.57945684468206</v>
      </c>
      <c r="I963" s="2" t="n">
        <f aca="false">IF(G963="","",D963*1000000/Inputs!$B$4^2*Inputs!$B$5/G963)</f>
        <v>1.12967094394515</v>
      </c>
      <c r="J963" s="2" t="n">
        <f aca="false">IF(C963="A",Inputs!$B$7,IF(C963="B",Inputs!$B$8,IF(C963="C",Inputs!$B$9,0)))</f>
        <v>1</v>
      </c>
      <c r="K963" s="2" t="n">
        <f aca="false">IF(AND(E963&lt;&gt;"",G963&lt;&gt;"",J963&gt;0),IF(I963&gt;=Inputs!$B$6,1,0),0)</f>
        <v>0</v>
      </c>
      <c r="L963" s="5" t="n">
        <v>0</v>
      </c>
      <c r="M963" s="5" t="n">
        <v>310.604</v>
      </c>
      <c r="N963" s="5" t="n">
        <v>1.58</v>
      </c>
      <c r="O963" s="4" t="s">
        <v>64</v>
      </c>
      <c r="P963" s="2" t="n">
        <f aca="false">IF(K963=1,J963/G963^2,0)</f>
        <v>0</v>
      </c>
      <c r="Q963" s="2" t="n">
        <f aca="false">IF(K963=1,((E963-Result!$B$7*D963)/G963)^2,0)</f>
        <v>0</v>
      </c>
    </row>
    <row r="964" customFormat="false" ht="15" hidden="false" customHeight="false" outlineLevel="0" collapsed="false">
      <c r="A964" s="4" t="s">
        <v>38</v>
      </c>
      <c r="B964" s="4" t="s">
        <v>1030</v>
      </c>
      <c r="C964" s="4" t="s">
        <v>63</v>
      </c>
      <c r="D964" s="5" t="n">
        <v>289.0145</v>
      </c>
      <c r="E964" s="5" t="n">
        <v>3.12</v>
      </c>
      <c r="F964" s="5" t="n">
        <v>0.00508527909351041</v>
      </c>
      <c r="G964" s="5" t="n">
        <v>1.3972</v>
      </c>
      <c r="H964" s="2" t="n">
        <f aca="false">D964*F964</f>
        <v>1.46971939457137</v>
      </c>
      <c r="I964" s="2" t="n">
        <f aca="false">IF(G964="","",D964*1000000/Inputs!$B$4^2*Inputs!$B$5/G964)</f>
        <v>1.05116520839652</v>
      </c>
      <c r="J964" s="2" t="n">
        <f aca="false">IF(C964="A",Inputs!$B$7,IF(C964="B",Inputs!$B$8,IF(C964="C",Inputs!$B$9,0)))</f>
        <v>1</v>
      </c>
      <c r="K964" s="2" t="n">
        <f aca="false">IF(AND(E964&lt;&gt;"",G964&lt;&gt;"",J964&gt;0),IF(I964&gt;=Inputs!$B$6,1,0),0)</f>
        <v>0</v>
      </c>
      <c r="L964" s="5" t="n">
        <v>1</v>
      </c>
      <c r="M964" s="5" t="n">
        <v>289.0187</v>
      </c>
      <c r="N964" s="5" t="n">
        <v>1.47</v>
      </c>
      <c r="O964" s="4" t="s">
        <v>64</v>
      </c>
      <c r="P964" s="2" t="n">
        <f aca="false">IF(K964=1,J964/G964^2,0)</f>
        <v>0</v>
      </c>
      <c r="Q964" s="2" t="n">
        <f aca="false">IF(K964=1,((E964-Result!$B$7*D964)/G964)^2,0)</f>
        <v>0</v>
      </c>
    </row>
    <row r="965" customFormat="false" ht="15" hidden="false" customHeight="false" outlineLevel="0" collapsed="false">
      <c r="A965" s="4" t="s">
        <v>38</v>
      </c>
      <c r="B965" s="4" t="s">
        <v>1031</v>
      </c>
      <c r="C965" s="4" t="s">
        <v>63</v>
      </c>
      <c r="D965" s="5" t="n">
        <v>205.2748</v>
      </c>
      <c r="E965" s="5" t="n">
        <v>1.12</v>
      </c>
      <c r="F965" s="5" t="n">
        <v>0.00508529930790709</v>
      </c>
      <c r="G965" s="5" t="n">
        <v>1.3972</v>
      </c>
      <c r="H965" s="2" t="n">
        <f aca="false">D965*F965</f>
        <v>1.04388379837077</v>
      </c>
      <c r="I965" s="2" t="n">
        <f aca="false">IF(G965="","",D965*1000000/Inputs!$B$4^2*Inputs!$B$5/G965)</f>
        <v>0.746598277666187</v>
      </c>
      <c r="J965" s="2" t="n">
        <f aca="false">IF(C965="A",Inputs!$B$7,IF(C965="B",Inputs!$B$8,IF(C965="C",Inputs!$B$9,0)))</f>
        <v>1</v>
      </c>
      <c r="K965" s="2" t="n">
        <f aca="false">IF(AND(E965&lt;&gt;"",G965&lt;&gt;"",J965&gt;0),IF(I965&gt;=Inputs!$B$6,1,0),0)</f>
        <v>0</v>
      </c>
      <c r="L965" s="5" t="n">
        <v>1</v>
      </c>
      <c r="M965" s="5" t="n">
        <v>205.2774</v>
      </c>
      <c r="N965" s="5" t="n">
        <v>1.04</v>
      </c>
      <c r="O965" s="4" t="s">
        <v>64</v>
      </c>
      <c r="P965" s="2" t="n">
        <f aca="false">IF(K965=1,J965/G965^2,0)</f>
        <v>0</v>
      </c>
      <c r="Q965" s="2" t="n">
        <f aca="false">IF(K965=1,((E965-Result!$B$7*D965)/G965)^2,0)</f>
        <v>0</v>
      </c>
    </row>
    <row r="966" customFormat="false" ht="15" hidden="false" customHeight="false" outlineLevel="0" collapsed="false">
      <c r="A966" s="4" t="s">
        <v>38</v>
      </c>
      <c r="B966" s="4" t="s">
        <v>1032</v>
      </c>
      <c r="C966" s="4" t="s">
        <v>63</v>
      </c>
      <c r="D966" s="5" t="n">
        <v>234.8478</v>
      </c>
      <c r="E966" s="5" t="n">
        <v>0.45</v>
      </c>
      <c r="F966" s="5" t="n">
        <v>0.00508519798431085</v>
      </c>
      <c r="G966" s="5" t="n">
        <v>1.3972</v>
      </c>
      <c r="H966" s="2" t="n">
        <f aca="false">D966*F966</f>
        <v>1.19424755917984</v>
      </c>
      <c r="I966" s="2" t="n">
        <f aca="false">IF(G966="","",D966*1000000/Inputs!$B$4^2*Inputs!$B$5/G966)</f>
        <v>0.854157271100463</v>
      </c>
      <c r="J966" s="2" t="n">
        <f aca="false">IF(C966="A",Inputs!$B$7,IF(C966="B",Inputs!$B$8,IF(C966="C",Inputs!$B$9,0)))</f>
        <v>1</v>
      </c>
      <c r="K966" s="2" t="n">
        <f aca="false">IF(AND(E966&lt;&gt;"",G966&lt;&gt;"",J966&gt;0),IF(I966&gt;=Inputs!$B$6,1,0),0)</f>
        <v>0</v>
      </c>
      <c r="L966" s="5" t="n">
        <v>0</v>
      </c>
      <c r="M966" s="5" t="n">
        <v>234.8513</v>
      </c>
      <c r="N966" s="5" t="n">
        <v>1.19</v>
      </c>
      <c r="O966" s="4" t="s">
        <v>64</v>
      </c>
      <c r="P966" s="2" t="n">
        <f aca="false">IF(K966=1,J966/G966^2,0)</f>
        <v>0</v>
      </c>
      <c r="Q966" s="2" t="n">
        <f aca="false">IF(K966=1,((E966-Result!$B$7*D966)/G966)^2,0)</f>
        <v>0</v>
      </c>
    </row>
    <row r="967" customFormat="false" ht="15" hidden="false" customHeight="false" outlineLevel="0" collapsed="false">
      <c r="A967" s="4" t="s">
        <v>38</v>
      </c>
      <c r="B967" s="4" t="s">
        <v>1033</v>
      </c>
      <c r="C967" s="4" t="s">
        <v>63</v>
      </c>
      <c r="D967" s="5" t="n">
        <v>281.0261</v>
      </c>
      <c r="E967" s="5" t="n">
        <v>2.23</v>
      </c>
      <c r="F967" s="5" t="n">
        <v>0.00508526277312014</v>
      </c>
      <c r="G967" s="5" t="n">
        <v>1.3972</v>
      </c>
      <c r="H967" s="2" t="n">
        <f aca="false">D967*F967</f>
        <v>1.42909156460514</v>
      </c>
      <c r="I967" s="2" t="n">
        <f aca="false">IF(G967="","",D967*1000000/Inputs!$B$4^2*Inputs!$B$5/G967)</f>
        <v>1.02211085939066</v>
      </c>
      <c r="J967" s="2" t="n">
        <f aca="false">IF(C967="A",Inputs!$B$7,IF(C967="B",Inputs!$B$8,IF(C967="C",Inputs!$B$9,0)))</f>
        <v>1</v>
      </c>
      <c r="K967" s="2" t="n">
        <f aca="false">IF(AND(E967&lt;&gt;"",G967&lt;&gt;"",J967&gt;0),IF(I967&gt;=Inputs!$B$6,1,0),0)</f>
        <v>0</v>
      </c>
      <c r="L967" s="5" t="n">
        <v>0</v>
      </c>
      <c r="M967" s="5" t="n">
        <v>281.0301</v>
      </c>
      <c r="N967" s="5" t="n">
        <v>1.43</v>
      </c>
      <c r="O967" s="4" t="s">
        <v>64</v>
      </c>
      <c r="P967" s="2" t="n">
        <f aca="false">IF(K967=1,J967/G967^2,0)</f>
        <v>0</v>
      </c>
      <c r="Q967" s="2" t="n">
        <f aca="false">IF(K967=1,((E967-Result!$B$7*D967)/G967)^2,0)</f>
        <v>0</v>
      </c>
    </row>
    <row r="968" customFormat="false" ht="15" hidden="false" customHeight="false" outlineLevel="0" collapsed="false">
      <c r="A968" s="4" t="s">
        <v>38</v>
      </c>
      <c r="B968" s="4" t="s">
        <v>1034</v>
      </c>
      <c r="C968" s="4" t="s">
        <v>63</v>
      </c>
      <c r="D968" s="5" t="n">
        <v>261.8839</v>
      </c>
      <c r="E968" s="5" t="n">
        <v>3.02</v>
      </c>
      <c r="F968" s="5" t="n">
        <v>0.00508526663227798</v>
      </c>
      <c r="G968" s="5" t="n">
        <v>1.3972</v>
      </c>
      <c r="H968" s="2" t="n">
        <f aca="false">D968*F968</f>
        <v>1.33174945820082</v>
      </c>
      <c r="I968" s="2" t="n">
        <f aca="false">IF(G968="","",D968*1000000/Inputs!$B$4^2*Inputs!$B$5/G968)</f>
        <v>0.952489388315098</v>
      </c>
      <c r="J968" s="2" t="n">
        <f aca="false">IF(C968="A",Inputs!$B$7,IF(C968="B",Inputs!$B$8,IF(C968="C",Inputs!$B$9,0)))</f>
        <v>1</v>
      </c>
      <c r="K968" s="2" t="n">
        <f aca="false">IF(AND(E968&lt;&gt;"",G968&lt;&gt;"",J968&gt;0),IF(I968&gt;=Inputs!$B$6,1,0),0)</f>
        <v>0</v>
      </c>
      <c r="L968" s="5" t="n">
        <v>0</v>
      </c>
      <c r="M968" s="5" t="n">
        <v>261.8871</v>
      </c>
      <c r="N968" s="5" t="n">
        <v>1.33</v>
      </c>
      <c r="O968" s="4" t="s">
        <v>64</v>
      </c>
      <c r="P968" s="2" t="n">
        <f aca="false">IF(K968=1,J968/G968^2,0)</f>
        <v>0</v>
      </c>
      <c r="Q968" s="2" t="n">
        <f aca="false">IF(K968=1,((E968-Result!$B$7*D968)/G968)^2,0)</f>
        <v>0</v>
      </c>
    </row>
    <row r="969" customFormat="false" ht="15" hidden="false" customHeight="false" outlineLevel="0" collapsed="false">
      <c r="A969" s="4" t="s">
        <v>38</v>
      </c>
      <c r="B969" s="4" t="s">
        <v>1035</v>
      </c>
      <c r="C969" s="4" t="s">
        <v>63</v>
      </c>
      <c r="D969" s="5" t="n">
        <v>472.3662</v>
      </c>
      <c r="E969" s="5" t="n">
        <v>3.32</v>
      </c>
      <c r="F969" s="5" t="n">
        <v>0.00508533334241757</v>
      </c>
      <c r="G969" s="5" t="n">
        <v>1.3972</v>
      </c>
      <c r="H969" s="2" t="n">
        <f aca="false">D969*F969</f>
        <v>2.40213958669109</v>
      </c>
      <c r="I969" s="2" t="n">
        <f aca="false">IF(G969="","",D969*1000000/Inputs!$B$4^2*Inputs!$B$5/G969)</f>
        <v>1.71802769432839</v>
      </c>
      <c r="J969" s="2" t="n">
        <f aca="false">IF(C969="A",Inputs!$B$7,IF(C969="B",Inputs!$B$8,IF(C969="C",Inputs!$B$9,0)))</f>
        <v>1</v>
      </c>
      <c r="K969" s="2" t="n">
        <f aca="false">IF(AND(E969&lt;&gt;"",G969&lt;&gt;"",J969&gt;0),IF(I969&gt;=Inputs!$B$6,1,0),0)</f>
        <v>0</v>
      </c>
      <c r="L969" s="5" t="n">
        <v>0</v>
      </c>
      <c r="M969" s="5" t="n">
        <v>472.3734</v>
      </c>
      <c r="N969" s="5" t="n">
        <v>2.4</v>
      </c>
      <c r="O969" s="4" t="s">
        <v>64</v>
      </c>
      <c r="P969" s="2" t="n">
        <f aca="false">IF(K969=1,J969/G969^2,0)</f>
        <v>0</v>
      </c>
      <c r="Q969" s="2" t="n">
        <f aca="false">IF(K969=1,((E969-Result!$B$7*D969)/G969)^2,0)</f>
        <v>0</v>
      </c>
    </row>
    <row r="970" customFormat="false" ht="15" hidden="false" customHeight="false" outlineLevel="0" collapsed="false">
      <c r="A970" s="4" t="s">
        <v>38</v>
      </c>
      <c r="B970" s="4" t="s">
        <v>1036</v>
      </c>
      <c r="C970" s="4" t="s">
        <v>63</v>
      </c>
      <c r="D970" s="5" t="n">
        <v>356.8838</v>
      </c>
      <c r="E970" s="5" t="n">
        <v>0.84</v>
      </c>
      <c r="F970" s="5" t="n">
        <v>0.00508536536866564</v>
      </c>
      <c r="G970" s="5" t="n">
        <v>1.3972</v>
      </c>
      <c r="H970" s="2" t="n">
        <f aca="false">D970*F970</f>
        <v>1.81488451715779</v>
      </c>
      <c r="I970" s="2" t="n">
        <f aca="false">IF(G970="","",D970*1000000/Inputs!$B$4^2*Inputs!$B$5/G970)</f>
        <v>1.29801042508366</v>
      </c>
      <c r="J970" s="2" t="n">
        <f aca="false">IF(C970="A",Inputs!$B$7,IF(C970="B",Inputs!$B$8,IF(C970="C",Inputs!$B$9,0)))</f>
        <v>1</v>
      </c>
      <c r="K970" s="2" t="n">
        <f aca="false">IF(AND(E970&lt;&gt;"",G970&lt;&gt;"",J970&gt;0),IF(I970&gt;=Inputs!$B$6,1,0),0)</f>
        <v>0</v>
      </c>
      <c r="L970" s="5" t="n">
        <v>0</v>
      </c>
      <c r="M970" s="5" t="n">
        <v>356.8885</v>
      </c>
      <c r="N970" s="5" t="n">
        <v>1.81</v>
      </c>
      <c r="O970" s="4" t="s">
        <v>64</v>
      </c>
      <c r="P970" s="2" t="n">
        <f aca="false">IF(K970=1,J970/G970^2,0)</f>
        <v>0</v>
      </c>
      <c r="Q970" s="2" t="n">
        <f aca="false">IF(K970=1,((E970-Result!$B$7*D970)/G970)^2,0)</f>
        <v>0</v>
      </c>
    </row>
    <row r="971" customFormat="false" ht="15" hidden="false" customHeight="false" outlineLevel="0" collapsed="false">
      <c r="A971" s="4" t="s">
        <v>38</v>
      </c>
      <c r="B971" s="4" t="s">
        <v>1037</v>
      </c>
      <c r="C971" s="4" t="s">
        <v>63</v>
      </c>
      <c r="D971" s="5" t="n">
        <v>146.4008</v>
      </c>
      <c r="E971" s="5" t="n">
        <v>0.54</v>
      </c>
      <c r="F971" s="5" t="n">
        <v>0.00508529233286466</v>
      </c>
      <c r="G971" s="5" t="n">
        <v>1.3972</v>
      </c>
      <c r="H971" s="2" t="n">
        <f aca="false">D971*F971</f>
        <v>0.744490865765253</v>
      </c>
      <c r="I971" s="2" t="n">
        <f aca="false">IF(G971="","",D971*1000000/Inputs!$B$4^2*Inputs!$B$5/G971)</f>
        <v>0.532469573123208</v>
      </c>
      <c r="J971" s="2" t="n">
        <f aca="false">IF(C971="A",Inputs!$B$7,IF(C971="B",Inputs!$B$8,IF(C971="C",Inputs!$B$9,0)))</f>
        <v>1</v>
      </c>
      <c r="K971" s="2" t="n">
        <f aca="false">IF(AND(E971&lt;&gt;"",G971&lt;&gt;"",J971&gt;0),IF(I971&gt;=Inputs!$B$6,1,0),0)</f>
        <v>0</v>
      </c>
      <c r="L971" s="5" t="n">
        <v>1</v>
      </c>
      <c r="M971" s="5" t="n">
        <v>146.4023</v>
      </c>
      <c r="N971" s="5" t="n">
        <v>0.74</v>
      </c>
      <c r="O971" s="4" t="s">
        <v>64</v>
      </c>
      <c r="P971" s="2" t="n">
        <f aca="false">IF(K971=1,J971/G971^2,0)</f>
        <v>0</v>
      </c>
      <c r="Q971" s="2" t="n">
        <f aca="false">IF(K971=1,((E971-Result!$B$7*D971)/G971)^2,0)</f>
        <v>0</v>
      </c>
    </row>
    <row r="972" customFormat="false" ht="15" hidden="false" customHeight="false" outlineLevel="0" collapsed="false">
      <c r="A972" s="4" t="s">
        <v>38</v>
      </c>
      <c r="B972" s="4" t="s">
        <v>1038</v>
      </c>
      <c r="C972" s="4" t="s">
        <v>63</v>
      </c>
      <c r="D972" s="5" t="n">
        <v>468.4345</v>
      </c>
      <c r="E972" s="5" t="n">
        <v>1.77</v>
      </c>
      <c r="F972" s="5" t="n">
        <v>0.00508549404139545</v>
      </c>
      <c r="G972" s="5" t="n">
        <v>1.3972</v>
      </c>
      <c r="H972" s="2" t="n">
        <f aca="false">D972*F972</f>
        <v>2.38222085853406</v>
      </c>
      <c r="I972" s="2" t="n">
        <f aca="false">IF(G972="","",D972*1000000/Inputs!$B$4^2*Inputs!$B$5/G972)</f>
        <v>1.7037278365363</v>
      </c>
      <c r="J972" s="2" t="n">
        <f aca="false">IF(C972="A",Inputs!$B$7,IF(C972="B",Inputs!$B$8,IF(C972="C",Inputs!$B$9,0)))</f>
        <v>1</v>
      </c>
      <c r="K972" s="2" t="n">
        <f aca="false">IF(AND(E972&lt;&gt;"",G972&lt;&gt;"",J972&gt;0),IF(I972&gt;=Inputs!$B$6,1,0),0)</f>
        <v>0</v>
      </c>
      <c r="L972" s="5" t="n">
        <v>0</v>
      </c>
      <c r="M972" s="5" t="n">
        <v>468.4418</v>
      </c>
      <c r="N972" s="5" t="n">
        <v>2.38</v>
      </c>
      <c r="O972" s="4" t="s">
        <v>64</v>
      </c>
      <c r="P972" s="2" t="n">
        <f aca="false">IF(K972=1,J972/G972^2,0)</f>
        <v>0</v>
      </c>
      <c r="Q972" s="2" t="n">
        <f aca="false">IF(K972=1,((E972-Result!$B$7*D972)/G972)^2,0)</f>
        <v>0</v>
      </c>
    </row>
    <row r="973" customFormat="false" ht="15" hidden="false" customHeight="false" outlineLevel="0" collapsed="false">
      <c r="A973" s="4" t="s">
        <v>38</v>
      </c>
      <c r="B973" s="4" t="s">
        <v>1039</v>
      </c>
      <c r="C973" s="4" t="s">
        <v>63</v>
      </c>
      <c r="D973" s="5" t="n">
        <v>655.244</v>
      </c>
      <c r="E973" s="5" t="n">
        <v>3.55</v>
      </c>
      <c r="F973" s="5" t="n">
        <v>0.00508542115487959</v>
      </c>
      <c r="G973" s="5" t="n">
        <v>1.3972</v>
      </c>
      <c r="H973" s="2" t="n">
        <f aca="false">D973*F973</f>
        <v>3.33219169920792</v>
      </c>
      <c r="I973" s="2" t="n">
        <f aca="false">IF(G973="","",D973*1000000/Inputs!$B$4^2*Inputs!$B$5/G973)</f>
        <v>2.383166574032</v>
      </c>
      <c r="J973" s="2" t="n">
        <f aca="false">IF(C973="A",Inputs!$B$7,IF(C973="B",Inputs!$B$8,IF(C973="C",Inputs!$B$9,0)))</f>
        <v>1</v>
      </c>
      <c r="K973" s="2" t="n">
        <f aca="false">IF(AND(E973&lt;&gt;"",G973&lt;&gt;"",J973&gt;0),IF(I973&gt;=Inputs!$B$6,1,0),0)</f>
        <v>1</v>
      </c>
      <c r="L973" s="5" t="n">
        <v>1</v>
      </c>
      <c r="M973" s="5" t="n">
        <v>655.2551</v>
      </c>
      <c r="N973" s="5" t="n">
        <v>3.33</v>
      </c>
      <c r="O973" s="4" t="s">
        <v>64</v>
      </c>
      <c r="P973" s="2" t="n">
        <f aca="false">IF(K973=1,J973/G973^2,0)</f>
        <v>0.512251036775608</v>
      </c>
      <c r="Q973" s="2" t="n">
        <f aca="false">IF(K973=1,((E973-Result!$B$7*D973)/G973)^2,0)</f>
        <v>0.029166838761203</v>
      </c>
    </row>
    <row r="974" customFormat="false" ht="15" hidden="false" customHeight="false" outlineLevel="0" collapsed="false">
      <c r="A974" s="4" t="s">
        <v>38</v>
      </c>
      <c r="B974" s="4" t="s">
        <v>1040</v>
      </c>
      <c r="C974" s="4" t="s">
        <v>63</v>
      </c>
      <c r="D974" s="5" t="n">
        <v>285.5557</v>
      </c>
      <c r="E974" s="5" t="n">
        <v>1.54</v>
      </c>
      <c r="F974" s="5" t="n">
        <v>0.00508539550660962</v>
      </c>
      <c r="G974" s="5" t="n">
        <v>1.3972</v>
      </c>
      <c r="H974" s="2" t="n">
        <f aca="false">D974*F974</f>
        <v>1.45216367366677</v>
      </c>
      <c r="I974" s="2" t="n">
        <f aca="false">IF(G974="","",D974*1000000/Inputs!$B$4^2*Inputs!$B$5/G974)</f>
        <v>1.03858531976532</v>
      </c>
      <c r="J974" s="2" t="n">
        <f aca="false">IF(C974="A",Inputs!$B$7,IF(C974="B",Inputs!$B$8,IF(C974="C",Inputs!$B$9,0)))</f>
        <v>1</v>
      </c>
      <c r="K974" s="2" t="n">
        <f aca="false">IF(AND(E974&lt;&gt;"",G974&lt;&gt;"",J974&gt;0),IF(I974&gt;=Inputs!$B$6,1,0),0)</f>
        <v>0</v>
      </c>
      <c r="L974" s="5" t="n">
        <v>1</v>
      </c>
      <c r="M974" s="5" t="n">
        <v>285.5601</v>
      </c>
      <c r="N974" s="5" t="n">
        <v>1.45</v>
      </c>
      <c r="O974" s="4" t="s">
        <v>64</v>
      </c>
      <c r="P974" s="2" t="n">
        <f aca="false">IF(K974=1,J974/G974^2,0)</f>
        <v>0</v>
      </c>
      <c r="Q974" s="2" t="n">
        <f aca="false">IF(K974=1,((E974-Result!$B$7*D974)/G974)^2,0)</f>
        <v>0</v>
      </c>
    </row>
    <row r="975" customFormat="false" ht="15" hidden="false" customHeight="false" outlineLevel="0" collapsed="false">
      <c r="A975" s="4" t="s">
        <v>38</v>
      </c>
      <c r="B975" s="4" t="s">
        <v>1041</v>
      </c>
      <c r="C975" s="4" t="s">
        <v>63</v>
      </c>
      <c r="D975" s="5" t="n">
        <v>636.5399</v>
      </c>
      <c r="E975" s="5" t="n">
        <v>2.91</v>
      </c>
      <c r="F975" s="5" t="n">
        <v>0.00508567205725189</v>
      </c>
      <c r="G975" s="5" t="n">
        <v>1.3972</v>
      </c>
      <c r="H975" s="2" t="n">
        <f aca="false">D975*F975</f>
        <v>3.23723318275591</v>
      </c>
      <c r="I975" s="2" t="n">
        <f aca="false">IF(G975="","",D975*1000000/Inputs!$B$4^2*Inputs!$B$5/G975)</f>
        <v>2.31513850217273</v>
      </c>
      <c r="J975" s="2" t="n">
        <f aca="false">IF(C975="A",Inputs!$B$7,IF(C975="B",Inputs!$B$8,IF(C975="C",Inputs!$B$9,0)))</f>
        <v>1</v>
      </c>
      <c r="K975" s="2" t="n">
        <f aca="false">IF(AND(E975&lt;&gt;"",G975&lt;&gt;"",J975&gt;0),IF(I975&gt;=Inputs!$B$6,1,0),0)</f>
        <v>1</v>
      </c>
      <c r="L975" s="5" t="n">
        <v>0</v>
      </c>
      <c r="M975" s="5" t="n">
        <v>636.5512</v>
      </c>
      <c r="N975" s="5" t="n">
        <v>3.24</v>
      </c>
      <c r="O975" s="4" t="s">
        <v>64</v>
      </c>
      <c r="P975" s="2" t="n">
        <f aca="false">IF(K975=1,J975/G975^2,0)</f>
        <v>0.512251036775608</v>
      </c>
      <c r="Q975" s="2" t="n">
        <f aca="false">IF(K975=1,((E975-Result!$B$7*D975)/G975)^2,0)</f>
        <v>0.0482344213918502</v>
      </c>
    </row>
    <row r="976" customFormat="false" ht="15" hidden="false" customHeight="false" outlineLevel="0" collapsed="false">
      <c r="A976" s="4" t="s">
        <v>38</v>
      </c>
      <c r="B976" s="4" t="s">
        <v>1042</v>
      </c>
      <c r="C976" s="4" t="s">
        <v>63</v>
      </c>
      <c r="D976" s="5" t="n">
        <v>697.5967</v>
      </c>
      <c r="E976" s="5" t="n">
        <v>3.25</v>
      </c>
      <c r="F976" s="5" t="n">
        <v>0.00508562231336952</v>
      </c>
      <c r="G976" s="5" t="n">
        <v>1.3972</v>
      </c>
      <c r="H976" s="2" t="n">
        <f aca="false">D976*F976</f>
        <v>3.54771334325294</v>
      </c>
      <c r="I976" s="2" t="n">
        <f aca="false">IF(G976="","",D976*1000000/Inputs!$B$4^2*Inputs!$B$5/G976)</f>
        <v>2.53720619737842</v>
      </c>
      <c r="J976" s="2" t="n">
        <f aca="false">IF(C976="A",Inputs!$B$7,IF(C976="B",Inputs!$B$8,IF(C976="C",Inputs!$B$9,0)))</f>
        <v>1</v>
      </c>
      <c r="K976" s="2" t="n">
        <f aca="false">IF(AND(E976&lt;&gt;"",G976&lt;&gt;"",J976&gt;0),IF(I976&gt;=Inputs!$B$6,1,0),0)</f>
        <v>1</v>
      </c>
      <c r="L976" s="5" t="n">
        <v>1</v>
      </c>
      <c r="M976" s="5" t="n">
        <v>697.61</v>
      </c>
      <c r="N976" s="5" t="n">
        <v>3.55</v>
      </c>
      <c r="O976" s="4" t="s">
        <v>64</v>
      </c>
      <c r="P976" s="2" t="n">
        <f aca="false">IF(K976=1,J976/G976^2,0)</f>
        <v>0.512251036775608</v>
      </c>
      <c r="Q976" s="2" t="n">
        <f aca="false">IF(K976=1,((E976-Result!$B$7*D976)/G976)^2,0)</f>
        <v>0.0388569018899856</v>
      </c>
    </row>
    <row r="977" customFormat="false" ht="15" hidden="false" customHeight="false" outlineLevel="0" collapsed="false">
      <c r="A977" s="4" t="s">
        <v>38</v>
      </c>
      <c r="B977" s="4" t="s">
        <v>1043</v>
      </c>
      <c r="C977" s="4" t="s">
        <v>63</v>
      </c>
      <c r="D977" s="5" t="n">
        <v>664.4995</v>
      </c>
      <c r="E977" s="5" t="n">
        <v>3.52</v>
      </c>
      <c r="F977" s="5" t="n">
        <v>0.0050857126821205</v>
      </c>
      <c r="G977" s="5" t="n">
        <v>1.3972</v>
      </c>
      <c r="H977" s="2" t="n">
        <f aca="false">D977*F977</f>
        <v>3.37945353441273</v>
      </c>
      <c r="I977" s="2" t="n">
        <f aca="false">IF(G977="","",D977*1000000/Inputs!$B$4^2*Inputs!$B$5/G977)</f>
        <v>2.41682945110672</v>
      </c>
      <c r="J977" s="2" t="n">
        <f aca="false">IF(C977="A",Inputs!$B$7,IF(C977="B",Inputs!$B$8,IF(C977="C",Inputs!$B$9,0)))</f>
        <v>1</v>
      </c>
      <c r="K977" s="2" t="n">
        <f aca="false">IF(AND(E977&lt;&gt;"",G977&lt;&gt;"",J977&gt;0),IF(I977&gt;=Inputs!$B$6,1,0),0)</f>
        <v>1</v>
      </c>
      <c r="L977" s="5" t="n">
        <v>0</v>
      </c>
      <c r="M977" s="5" t="n">
        <v>664.5108</v>
      </c>
      <c r="N977" s="5" t="n">
        <v>3.38</v>
      </c>
      <c r="O977" s="4" t="s">
        <v>64</v>
      </c>
      <c r="P977" s="2" t="n">
        <f aca="false">IF(K977=1,J977/G977^2,0)</f>
        <v>0.512251036775608</v>
      </c>
      <c r="Q977" s="2" t="n">
        <f aca="false">IF(K977=1,((E977-Result!$B$7*D977)/G977)^2,0)</f>
        <v>0.0134176139817356</v>
      </c>
    </row>
    <row r="978" customFormat="false" ht="15" hidden="false" customHeight="false" outlineLevel="0" collapsed="false">
      <c r="A978" s="4" t="s">
        <v>38</v>
      </c>
      <c r="B978" s="4" t="s">
        <v>1044</v>
      </c>
      <c r="C978" s="4" t="s">
        <v>63</v>
      </c>
      <c r="D978" s="5" t="n">
        <v>603.4412</v>
      </c>
      <c r="E978" s="5" t="n">
        <v>3.18</v>
      </c>
      <c r="F978" s="5" t="n">
        <v>0.00508577446687172</v>
      </c>
      <c r="G978" s="5" t="n">
        <v>1.3972</v>
      </c>
      <c r="H978" s="2" t="n">
        <f aca="false">D978*F978</f>
        <v>3.06896584721843</v>
      </c>
      <c r="I978" s="2" t="n">
        <f aca="false">IF(G978="","",D978*1000000/Inputs!$B$4^2*Inputs!$B$5/G978)</f>
        <v>2.19475630029997</v>
      </c>
      <c r="J978" s="2" t="n">
        <f aca="false">IF(C978="A",Inputs!$B$7,IF(C978="B",Inputs!$B$8,IF(C978="C",Inputs!$B$9,0)))</f>
        <v>1</v>
      </c>
      <c r="K978" s="2" t="n">
        <f aca="false">IF(AND(E978&lt;&gt;"",G978&lt;&gt;"",J978&gt;0),IF(I978&gt;=Inputs!$B$6,1,0),0)</f>
        <v>1</v>
      </c>
      <c r="L978" s="5" t="n">
        <v>1</v>
      </c>
      <c r="M978" s="5" t="n">
        <v>603.452</v>
      </c>
      <c r="N978" s="5" t="n">
        <v>3.07</v>
      </c>
      <c r="O978" s="4" t="s">
        <v>64</v>
      </c>
      <c r="P978" s="2" t="n">
        <f aca="false">IF(K978=1,J978/G978^2,0)</f>
        <v>0.512251036775608</v>
      </c>
      <c r="Q978" s="2" t="n">
        <f aca="false">IF(K978=1,((E978-Result!$B$7*D978)/G978)^2,0)</f>
        <v>0.00871198759625977</v>
      </c>
    </row>
    <row r="979" customFormat="false" ht="15" hidden="false" customHeight="false" outlineLevel="0" collapsed="false">
      <c r="A979" s="4" t="s">
        <v>38</v>
      </c>
      <c r="B979" s="4" t="s">
        <v>1045</v>
      </c>
      <c r="C979" s="4" t="s">
        <v>63</v>
      </c>
      <c r="D979" s="5" t="n">
        <v>257.0043</v>
      </c>
      <c r="E979" s="5" t="n">
        <v>0.75</v>
      </c>
      <c r="F979" s="5" t="n">
        <v>0.0050858656666387</v>
      </c>
      <c r="G979" s="5" t="n">
        <v>1.3972</v>
      </c>
      <c r="H979" s="2" t="n">
        <f aca="false">D979*F979</f>
        <v>1.30708934554851</v>
      </c>
      <c r="I979" s="2" t="n">
        <f aca="false">IF(G979="","",D979*1000000/Inputs!$B$4^2*Inputs!$B$5/G979)</f>
        <v>0.934741954359737</v>
      </c>
      <c r="J979" s="2" t="n">
        <f aca="false">IF(C979="A",Inputs!$B$7,IF(C979="B",Inputs!$B$8,IF(C979="C",Inputs!$B$9,0)))</f>
        <v>1</v>
      </c>
      <c r="K979" s="2" t="n">
        <f aca="false">IF(AND(E979&lt;&gt;"",G979&lt;&gt;"",J979&gt;0),IF(I979&gt;=Inputs!$B$6,1,0),0)</f>
        <v>0</v>
      </c>
      <c r="L979" s="5" t="n">
        <v>1</v>
      </c>
      <c r="M979" s="5" t="n">
        <v>257.0077</v>
      </c>
      <c r="N979" s="5" t="n">
        <v>1.31</v>
      </c>
      <c r="O979" s="4" t="s">
        <v>64</v>
      </c>
      <c r="P979" s="2" t="n">
        <f aca="false">IF(K979=1,J979/G979^2,0)</f>
        <v>0</v>
      </c>
      <c r="Q979" s="2" t="n">
        <f aca="false">IF(K979=1,((E979-Result!$B$7*D979)/G979)^2,0)</f>
        <v>0</v>
      </c>
    </row>
    <row r="980" customFormat="false" ht="15" hidden="false" customHeight="false" outlineLevel="0" collapsed="false">
      <c r="A980" s="4" t="s">
        <v>38</v>
      </c>
      <c r="B980" s="4" t="s">
        <v>1046</v>
      </c>
      <c r="C980" s="4" t="s">
        <v>63</v>
      </c>
      <c r="D980" s="5" t="n">
        <v>440.7336</v>
      </c>
      <c r="E980" s="5" t="n">
        <v>1.67</v>
      </c>
      <c r="F980" s="5" t="n">
        <v>0.00508595455423719</v>
      </c>
      <c r="G980" s="5" t="n">
        <v>1.3972</v>
      </c>
      <c r="H980" s="2" t="n">
        <f aca="false">D980*F980</f>
        <v>2.24155106012535</v>
      </c>
      <c r="I980" s="2" t="n">
        <f aca="false">IF(G980="","",D980*1000000/Inputs!$B$4^2*Inputs!$B$5/G980)</f>
        <v>1.60297779693181</v>
      </c>
      <c r="J980" s="2" t="n">
        <f aca="false">IF(C980="A",Inputs!$B$7,IF(C980="B",Inputs!$B$8,IF(C980="C",Inputs!$B$9,0)))</f>
        <v>1</v>
      </c>
      <c r="K980" s="2" t="n">
        <f aca="false">IF(AND(E980&lt;&gt;"",G980&lt;&gt;"",J980&gt;0),IF(I980&gt;=Inputs!$B$6,1,0),0)</f>
        <v>0</v>
      </c>
      <c r="L980" s="5" t="n">
        <v>0</v>
      </c>
      <c r="M980" s="5" t="n">
        <v>440.74</v>
      </c>
      <c r="N980" s="5" t="n">
        <v>2.24</v>
      </c>
      <c r="O980" s="4" t="s">
        <v>64</v>
      </c>
      <c r="P980" s="2" t="n">
        <f aca="false">IF(K980=1,J980/G980^2,0)</f>
        <v>0</v>
      </c>
      <c r="Q980" s="2" t="n">
        <f aca="false">IF(K980=1,((E980-Result!$B$7*D980)/G980)^2,0)</f>
        <v>0</v>
      </c>
    </row>
    <row r="981" customFormat="false" ht="15" hidden="false" customHeight="false" outlineLevel="0" collapsed="false">
      <c r="A981" s="4" t="s">
        <v>38</v>
      </c>
      <c r="B981" s="4" t="s">
        <v>1047</v>
      </c>
      <c r="C981" s="4" t="s">
        <v>63</v>
      </c>
      <c r="D981" s="5" t="n">
        <v>457.8621</v>
      </c>
      <c r="E981" s="5" t="n">
        <v>1.53</v>
      </c>
      <c r="F981" s="5" t="n">
        <v>0.00508600507950678</v>
      </c>
      <c r="G981" s="5" t="n">
        <v>1.3972</v>
      </c>
      <c r="H981" s="2" t="n">
        <f aca="false">D981*F981</f>
        <v>2.32868896631364</v>
      </c>
      <c r="I981" s="2" t="n">
        <f aca="false">IF(G981="","",D981*1000000/Inputs!$B$4^2*Inputs!$B$5/G981)</f>
        <v>1.66527530543751</v>
      </c>
      <c r="J981" s="2" t="n">
        <f aca="false">IF(C981="A",Inputs!$B$7,IF(C981="B",Inputs!$B$8,IF(C981="C",Inputs!$B$9,0)))</f>
        <v>1</v>
      </c>
      <c r="K981" s="2" t="n">
        <f aca="false">IF(AND(E981&lt;&gt;"",G981&lt;&gt;"",J981&gt;0),IF(I981&gt;=Inputs!$B$6,1,0),0)</f>
        <v>0</v>
      </c>
      <c r="L981" s="5" t="n">
        <v>1</v>
      </c>
      <c r="M981" s="5" t="n">
        <v>457.8686</v>
      </c>
      <c r="N981" s="5" t="n">
        <v>2.33</v>
      </c>
      <c r="O981" s="4" t="s">
        <v>64</v>
      </c>
      <c r="P981" s="2" t="n">
        <f aca="false">IF(K981=1,J981/G981^2,0)</f>
        <v>0</v>
      </c>
      <c r="Q981" s="2" t="n">
        <f aca="false">IF(K981=1,((E981-Result!$B$7*D981)/G981)^2,0)</f>
        <v>0</v>
      </c>
    </row>
    <row r="982" customFormat="false" ht="15" hidden="false" customHeight="false" outlineLevel="0" collapsed="false">
      <c r="A982" s="4" t="s">
        <v>38</v>
      </c>
      <c r="B982" s="4" t="s">
        <v>1048</v>
      </c>
      <c r="C982" s="4" t="s">
        <v>63</v>
      </c>
      <c r="D982" s="5" t="n">
        <v>274.1326</v>
      </c>
      <c r="E982" s="5" t="n">
        <v>0.61</v>
      </c>
      <c r="F982" s="5" t="n">
        <v>0.00508595560943793</v>
      </c>
      <c r="G982" s="5" t="n">
        <v>1.3972</v>
      </c>
      <c r="H982" s="2" t="n">
        <f aca="false">D982*F982</f>
        <v>1.39422623469981</v>
      </c>
      <c r="I982" s="2" t="n">
        <f aca="false">IF(G982="","",D982*1000000/Inputs!$B$4^2*Inputs!$B$5/G982)</f>
        <v>0.997038735451959</v>
      </c>
      <c r="J982" s="2" t="n">
        <f aca="false">IF(C982="A",Inputs!$B$7,IF(C982="B",Inputs!$B$8,IF(C982="C",Inputs!$B$9,0)))</f>
        <v>1</v>
      </c>
      <c r="K982" s="2" t="n">
        <f aca="false">IF(AND(E982&lt;&gt;"",G982&lt;&gt;"",J982&gt;0),IF(I982&gt;=Inputs!$B$6,1,0),0)</f>
        <v>0</v>
      </c>
      <c r="L982" s="5" t="n">
        <v>0</v>
      </c>
      <c r="M982" s="5" t="n">
        <v>274.1363</v>
      </c>
      <c r="N982" s="5" t="n">
        <v>1.39</v>
      </c>
      <c r="O982" s="4" t="s">
        <v>64</v>
      </c>
      <c r="P982" s="2" t="n">
        <f aca="false">IF(K982=1,J982/G982^2,0)</f>
        <v>0</v>
      </c>
      <c r="Q982" s="2" t="n">
        <f aca="false">IF(K982=1,((E982-Result!$B$7*D982)/G982)^2,0)</f>
        <v>0</v>
      </c>
    </row>
    <row r="983" customFormat="false" ht="15" hidden="false" customHeight="false" outlineLevel="0" collapsed="false">
      <c r="A983" s="4" t="s">
        <v>38</v>
      </c>
      <c r="B983" s="4" t="s">
        <v>1049</v>
      </c>
      <c r="C983" s="4" t="s">
        <v>63</v>
      </c>
      <c r="D983" s="5" t="n">
        <v>547.1402</v>
      </c>
      <c r="E983" s="5" t="n">
        <v>2.99</v>
      </c>
      <c r="F983" s="5" t="n">
        <v>0.00508608130997043</v>
      </c>
      <c r="G983" s="5" t="n">
        <v>1.3972</v>
      </c>
      <c r="H983" s="2" t="n">
        <f aca="false">D983*F983</f>
        <v>2.78279954515348</v>
      </c>
      <c r="I983" s="2" t="n">
        <f aca="false">IF(G983="","",D983*1000000/Inputs!$B$4^2*Inputs!$B$5/G983)</f>
        <v>1.98998577010882</v>
      </c>
      <c r="J983" s="2" t="n">
        <f aca="false">IF(C983="A",Inputs!$B$7,IF(C983="B",Inputs!$B$8,IF(C983="C",Inputs!$B$9,0)))</f>
        <v>1</v>
      </c>
      <c r="K983" s="2" t="n">
        <f aca="false">IF(AND(E983&lt;&gt;"",G983&lt;&gt;"",J983&gt;0),IF(I983&gt;=Inputs!$B$6,1,0),0)</f>
        <v>0</v>
      </c>
      <c r="L983" s="5" t="n">
        <v>0</v>
      </c>
      <c r="M983" s="5" t="n">
        <v>547.1489</v>
      </c>
      <c r="N983" s="5" t="n">
        <v>2.78</v>
      </c>
      <c r="O983" s="4" t="s">
        <v>64</v>
      </c>
      <c r="P983" s="2" t="n">
        <f aca="false">IF(K983=1,J983/G983^2,0)</f>
        <v>0</v>
      </c>
      <c r="Q983" s="2" t="n">
        <f aca="false">IF(K983=1,((E983-Result!$B$7*D983)/G983)^2,0)</f>
        <v>0</v>
      </c>
    </row>
    <row r="984" customFormat="false" ht="15" hidden="false" customHeight="false" outlineLevel="0" collapsed="false">
      <c r="A984" s="4" t="s">
        <v>38</v>
      </c>
      <c r="B984" s="4" t="s">
        <v>1050</v>
      </c>
      <c r="C984" s="4" t="s">
        <v>63</v>
      </c>
      <c r="D984" s="5" t="n">
        <v>321.0484</v>
      </c>
      <c r="E984" s="5" t="n">
        <v>1.17</v>
      </c>
      <c r="F984" s="5" t="n">
        <v>0.00508616426595013</v>
      </c>
      <c r="G984" s="5" t="n">
        <v>1.3972</v>
      </c>
      <c r="H984" s="2" t="n">
        <f aca="false">D984*F984</f>
        <v>1.63290489972046</v>
      </c>
      <c r="I984" s="2" t="n">
        <f aca="false">IF(G984="","",D984*1000000/Inputs!$B$4^2*Inputs!$B$5/G984)</f>
        <v>1.16767466093006</v>
      </c>
      <c r="J984" s="2" t="n">
        <f aca="false">IF(C984="A",Inputs!$B$7,IF(C984="B",Inputs!$B$8,IF(C984="C",Inputs!$B$9,0)))</f>
        <v>1</v>
      </c>
      <c r="K984" s="2" t="n">
        <f aca="false">IF(AND(E984&lt;&gt;"",G984&lt;&gt;"",J984&gt;0),IF(I984&gt;=Inputs!$B$6,1,0),0)</f>
        <v>0</v>
      </c>
      <c r="L984" s="5" t="n">
        <v>1</v>
      </c>
      <c r="M984" s="5" t="n">
        <v>321.0534</v>
      </c>
      <c r="N984" s="5" t="n">
        <v>1.63</v>
      </c>
      <c r="O984" s="4" t="s">
        <v>64</v>
      </c>
      <c r="P984" s="2" t="n">
        <f aca="false">IF(K984=1,J984/G984^2,0)</f>
        <v>0</v>
      </c>
      <c r="Q984" s="2" t="n">
        <f aca="false">IF(K984=1,((E984-Result!$B$7*D984)/G984)^2,0)</f>
        <v>0</v>
      </c>
    </row>
    <row r="985" customFormat="false" ht="15" hidden="false" customHeight="false" outlineLevel="0" collapsed="false">
      <c r="A985" s="4" t="s">
        <v>38</v>
      </c>
      <c r="B985" s="4" t="s">
        <v>1051</v>
      </c>
      <c r="C985" s="4" t="s">
        <v>63</v>
      </c>
      <c r="D985" s="5" t="n">
        <v>478.6476</v>
      </c>
      <c r="E985" s="5" t="n">
        <v>3.7</v>
      </c>
      <c r="F985" s="5" t="n">
        <v>0.005086239239481</v>
      </c>
      <c r="G985" s="5" t="n">
        <v>1.3972</v>
      </c>
      <c r="H985" s="2" t="n">
        <f aca="false">D985*F985</f>
        <v>2.43451620500341</v>
      </c>
      <c r="I985" s="2" t="n">
        <f aca="false">IF(G985="","",D985*1000000/Inputs!$B$4^2*Inputs!$B$5/G985)</f>
        <v>1.74087356932782</v>
      </c>
      <c r="J985" s="2" t="n">
        <f aca="false">IF(C985="A",Inputs!$B$7,IF(C985="B",Inputs!$B$8,IF(C985="C",Inputs!$B$9,0)))</f>
        <v>1</v>
      </c>
      <c r="K985" s="2" t="n">
        <f aca="false">IF(AND(E985&lt;&gt;"",G985&lt;&gt;"",J985&gt;0),IF(I985&gt;=Inputs!$B$6,1,0),0)</f>
        <v>0</v>
      </c>
      <c r="L985" s="5" t="n">
        <v>0</v>
      </c>
      <c r="M985" s="5" t="n">
        <v>478.656</v>
      </c>
      <c r="N985" s="5" t="n">
        <v>2.43</v>
      </c>
      <c r="O985" s="4" t="s">
        <v>64</v>
      </c>
      <c r="P985" s="2" t="n">
        <f aca="false">IF(K985=1,J985/G985^2,0)</f>
        <v>0</v>
      </c>
      <c r="Q985" s="2" t="n">
        <f aca="false">IF(K985=1,((E985-Result!$B$7*D985)/G985)^2,0)</f>
        <v>0</v>
      </c>
    </row>
    <row r="986" customFormat="false" ht="15" hidden="false" customHeight="false" outlineLevel="0" collapsed="false">
      <c r="A986" s="4" t="s">
        <v>38</v>
      </c>
      <c r="B986" s="4" t="s">
        <v>1052</v>
      </c>
      <c r="C986" s="4" t="s">
        <v>63</v>
      </c>
      <c r="D986" s="5" t="n">
        <v>704.739</v>
      </c>
      <c r="E986" s="5" t="n">
        <v>5.52</v>
      </c>
      <c r="F986" s="5" t="n">
        <v>0.00508615078039237</v>
      </c>
      <c r="G986" s="5" t="n">
        <v>1.3972</v>
      </c>
      <c r="H986" s="2" t="n">
        <f aca="false">D986*F986</f>
        <v>3.58440881482294</v>
      </c>
      <c r="I986" s="2" t="n">
        <f aca="false">IF(G986="","",D986*1000000/Inputs!$B$4^2*Inputs!$B$5/G986)</f>
        <v>2.56318322367963</v>
      </c>
      <c r="J986" s="2" t="n">
        <f aca="false">IF(C986="A",Inputs!$B$7,IF(C986="B",Inputs!$B$8,IF(C986="C",Inputs!$B$9,0)))</f>
        <v>1</v>
      </c>
      <c r="K986" s="2" t="n">
        <f aca="false">IF(AND(E986&lt;&gt;"",G986&lt;&gt;"",J986&gt;0),IF(I986&gt;=Inputs!$B$6,1,0),0)</f>
        <v>1</v>
      </c>
      <c r="L986" s="5" t="n">
        <v>1</v>
      </c>
      <c r="M986" s="5" t="n">
        <v>704.7516</v>
      </c>
      <c r="N986" s="5" t="n">
        <v>3.58</v>
      </c>
      <c r="O986" s="4" t="s">
        <v>64</v>
      </c>
      <c r="P986" s="2" t="n">
        <f aca="false">IF(K986=1,J986/G986^2,0)</f>
        <v>0.512251036775608</v>
      </c>
      <c r="Q986" s="2" t="n">
        <f aca="false">IF(K986=1,((E986-Result!$B$7*D986)/G986)^2,0)</f>
        <v>1.96482663525181</v>
      </c>
    </row>
    <row r="987" customFormat="false" ht="15" hidden="false" customHeight="false" outlineLevel="0" collapsed="false">
      <c r="A987" s="4" t="s">
        <v>38</v>
      </c>
      <c r="B987" s="4" t="s">
        <v>1053</v>
      </c>
      <c r="C987" s="4" t="s">
        <v>63</v>
      </c>
      <c r="D987" s="5" t="n">
        <v>464.4237</v>
      </c>
      <c r="E987" s="5" t="n">
        <v>0.29</v>
      </c>
      <c r="F987" s="5" t="n">
        <v>0.00508632755776749</v>
      </c>
      <c r="G987" s="5" t="n">
        <v>1.3972</v>
      </c>
      <c r="H987" s="2" t="n">
        <f aca="false">D987*F987</f>
        <v>2.36221106379034</v>
      </c>
      <c r="I987" s="2" t="n">
        <f aca="false">IF(G987="","",D987*1000000/Inputs!$B$4^2*Inputs!$B$5/G987)</f>
        <v>1.68914028671497</v>
      </c>
      <c r="J987" s="2" t="n">
        <f aca="false">IF(C987="A",Inputs!$B$7,IF(C987="B",Inputs!$B$8,IF(C987="C",Inputs!$B$9,0)))</f>
        <v>1</v>
      </c>
      <c r="K987" s="2" t="n">
        <f aca="false">IF(AND(E987&lt;&gt;"",G987&lt;&gt;"",J987&gt;0),IF(I987&gt;=Inputs!$B$6,1,0),0)</f>
        <v>0</v>
      </c>
      <c r="L987" s="5" t="n">
        <v>1</v>
      </c>
      <c r="M987" s="5" t="n">
        <v>464.4312</v>
      </c>
      <c r="N987" s="5" t="n">
        <v>2.36</v>
      </c>
      <c r="O987" s="4" t="s">
        <v>64</v>
      </c>
      <c r="P987" s="2" t="n">
        <f aca="false">IF(K987=1,J987/G987^2,0)</f>
        <v>0</v>
      </c>
      <c r="Q987" s="2" t="n">
        <f aca="false">IF(K987=1,((E987-Result!$B$7*D987)/G987)^2,0)</f>
        <v>0</v>
      </c>
    </row>
    <row r="988" customFormat="false" ht="15" hidden="false" customHeight="false" outlineLevel="0" collapsed="false">
      <c r="A988" s="4" t="s">
        <v>38</v>
      </c>
      <c r="B988" s="4" t="s">
        <v>1054</v>
      </c>
      <c r="C988" s="4" t="s">
        <v>63</v>
      </c>
      <c r="D988" s="5" t="n">
        <v>663.9918</v>
      </c>
      <c r="E988" s="5" t="n">
        <v>2.81</v>
      </c>
      <c r="F988" s="5" t="n">
        <v>0.0050862582985895</v>
      </c>
      <c r="G988" s="5" t="n">
        <v>1.3972</v>
      </c>
      <c r="H988" s="2" t="n">
        <f aca="false">D988*F988</f>
        <v>3.37723380294538</v>
      </c>
      <c r="I988" s="2" t="n">
        <f aca="false">IF(G988="","",D988*1000000/Inputs!$B$4^2*Inputs!$B$5/G988)</f>
        <v>2.41498291200124</v>
      </c>
      <c r="J988" s="2" t="n">
        <f aca="false">IF(C988="A",Inputs!$B$7,IF(C988="B",Inputs!$B$8,IF(C988="C",Inputs!$B$9,0)))</f>
        <v>1</v>
      </c>
      <c r="K988" s="2" t="n">
        <f aca="false">IF(AND(E988&lt;&gt;"",G988&lt;&gt;"",J988&gt;0),IF(I988&gt;=Inputs!$B$6,1,0),0)</f>
        <v>1</v>
      </c>
      <c r="L988" s="5" t="n">
        <v>0</v>
      </c>
      <c r="M988" s="5" t="n">
        <v>664.0037</v>
      </c>
      <c r="N988" s="5" t="n">
        <v>3.38</v>
      </c>
      <c r="O988" s="4" t="s">
        <v>64</v>
      </c>
      <c r="P988" s="2" t="n">
        <f aca="false">IF(K988=1,J988/G988^2,0)</f>
        <v>0.512251036775608</v>
      </c>
      <c r="Q988" s="2" t="n">
        <f aca="false">IF(K988=1,((E988-Result!$B$7*D988)/G988)^2,0)</f>
        <v>0.152481193166057</v>
      </c>
    </row>
    <row r="989" customFormat="false" ht="15" hidden="false" customHeight="false" outlineLevel="0" collapsed="false">
      <c r="A989" s="4" t="s">
        <v>38</v>
      </c>
      <c r="B989" s="4" t="s">
        <v>1055</v>
      </c>
      <c r="C989" s="4" t="s">
        <v>63</v>
      </c>
      <c r="D989" s="5" t="n">
        <v>279.0787</v>
      </c>
      <c r="E989" s="5" t="n">
        <v>1.18</v>
      </c>
      <c r="F989" s="5" t="n">
        <v>0.00508634100218106</v>
      </c>
      <c r="G989" s="5" t="n">
        <v>1.3972</v>
      </c>
      <c r="H989" s="2" t="n">
        <f aca="false">D989*F989</f>
        <v>1.41948943464539</v>
      </c>
      <c r="I989" s="2" t="n">
        <f aca="false">IF(G989="","",D989*1000000/Inputs!$B$4^2*Inputs!$B$5/G989)</f>
        <v>1.01502803438765</v>
      </c>
      <c r="J989" s="2" t="n">
        <f aca="false">IF(C989="A",Inputs!$B$7,IF(C989="B",Inputs!$B$8,IF(C989="C",Inputs!$B$9,0)))</f>
        <v>1</v>
      </c>
      <c r="K989" s="2" t="n">
        <f aca="false">IF(AND(E989&lt;&gt;"",G989&lt;&gt;"",J989&gt;0),IF(I989&gt;=Inputs!$B$6,1,0),0)</f>
        <v>0</v>
      </c>
      <c r="L989" s="5" t="n">
        <v>0</v>
      </c>
      <c r="M989" s="5" t="n">
        <v>279.0835</v>
      </c>
      <c r="N989" s="5" t="n">
        <v>1.42</v>
      </c>
      <c r="O989" s="4" t="s">
        <v>64</v>
      </c>
      <c r="P989" s="2" t="n">
        <f aca="false">IF(K989=1,J989/G989^2,0)</f>
        <v>0</v>
      </c>
      <c r="Q989" s="2" t="n">
        <f aca="false">IF(K989=1,((E989-Result!$B$7*D989)/G989)^2,0)</f>
        <v>0</v>
      </c>
    </row>
    <row r="990" customFormat="false" ht="15" hidden="false" customHeight="false" outlineLevel="0" collapsed="false">
      <c r="A990" s="4" t="s">
        <v>38</v>
      </c>
      <c r="B990" s="4" t="s">
        <v>1056</v>
      </c>
      <c r="C990" s="4" t="s">
        <v>63</v>
      </c>
      <c r="D990" s="5" t="n">
        <v>210.9342</v>
      </c>
      <c r="E990" s="5" t="n">
        <v>2.06</v>
      </c>
      <c r="F990" s="5" t="n">
        <v>0.00508646005542893</v>
      </c>
      <c r="G990" s="5" t="n">
        <v>1.3972</v>
      </c>
      <c r="H990" s="2" t="n">
        <f aca="false">D990*F990</f>
        <v>1.07290838262386</v>
      </c>
      <c r="I990" s="2" t="n">
        <f aca="false">IF(G990="","",D990*1000000/Inputs!$B$4^2*Inputs!$B$5/G990)</f>
        <v>0.767181896759345</v>
      </c>
      <c r="J990" s="2" t="n">
        <f aca="false">IF(C990="A",Inputs!$B$7,IF(C990="B",Inputs!$B$8,IF(C990="C",Inputs!$B$9,0)))</f>
        <v>1</v>
      </c>
      <c r="K990" s="2" t="n">
        <f aca="false">IF(AND(E990&lt;&gt;"",G990&lt;&gt;"",J990&gt;0),IF(I990&gt;=Inputs!$B$6,1,0),0)</f>
        <v>0</v>
      </c>
      <c r="L990" s="5" t="n">
        <v>1</v>
      </c>
      <c r="M990" s="5" t="n">
        <v>210.9372</v>
      </c>
      <c r="N990" s="5" t="n">
        <v>1.07</v>
      </c>
      <c r="O990" s="4" t="s">
        <v>64</v>
      </c>
      <c r="P990" s="2" t="n">
        <f aca="false">IF(K990=1,J990/G990^2,0)</f>
        <v>0</v>
      </c>
      <c r="Q990" s="2" t="n">
        <f aca="false">IF(K990=1,((E990-Result!$B$7*D990)/G990)^2,0)</f>
        <v>0</v>
      </c>
    </row>
    <row r="991" customFormat="false" ht="15" hidden="false" customHeight="false" outlineLevel="0" collapsed="false">
      <c r="A991" s="4" t="s">
        <v>38</v>
      </c>
      <c r="B991" s="4" t="s">
        <v>1057</v>
      </c>
      <c r="C991" s="4" t="s">
        <v>63</v>
      </c>
      <c r="D991" s="5" t="n">
        <v>304.0398</v>
      </c>
      <c r="E991" s="5" t="n">
        <v>0.86</v>
      </c>
      <c r="F991" s="5" t="n">
        <v>0.00508635850428177</v>
      </c>
      <c r="G991" s="5" t="n">
        <v>1.3972</v>
      </c>
      <c r="H991" s="2" t="n">
        <f aca="false">D991*F991</f>
        <v>1.54645542237013</v>
      </c>
      <c r="I991" s="2" t="n">
        <f aca="false">IF(G991="","",D991*1000000/Inputs!$B$4^2*Inputs!$B$5/G991)</f>
        <v>1.10581323680243</v>
      </c>
      <c r="J991" s="2" t="n">
        <f aca="false">IF(C991="A",Inputs!$B$7,IF(C991="B",Inputs!$B$8,IF(C991="C",Inputs!$B$9,0)))</f>
        <v>1</v>
      </c>
      <c r="K991" s="2" t="n">
        <f aca="false">IF(AND(E991&lt;&gt;"",G991&lt;&gt;"",J991&gt;0),IF(I991&gt;=Inputs!$B$6,1,0),0)</f>
        <v>0</v>
      </c>
      <c r="L991" s="5" t="n">
        <v>0</v>
      </c>
      <c r="M991" s="5" t="n">
        <v>304.0446</v>
      </c>
      <c r="N991" s="5" t="n">
        <v>1.55</v>
      </c>
      <c r="O991" s="4" t="s">
        <v>64</v>
      </c>
      <c r="P991" s="2" t="n">
        <f aca="false">IF(K991=1,J991/G991^2,0)</f>
        <v>0</v>
      </c>
      <c r="Q991" s="2" t="n">
        <f aca="false">IF(K991=1,((E991-Result!$B$7*D991)/G991)^2,0)</f>
        <v>0</v>
      </c>
    </row>
    <row r="992" customFormat="false" ht="15" hidden="false" customHeight="false" outlineLevel="0" collapsed="false">
      <c r="A992" s="4" t="s">
        <v>38</v>
      </c>
      <c r="B992" s="4" t="s">
        <v>1058</v>
      </c>
      <c r="C992" s="4" t="s">
        <v>63</v>
      </c>
      <c r="D992" s="5" t="n">
        <v>371.3176</v>
      </c>
      <c r="E992" s="5" t="n">
        <v>1.49</v>
      </c>
      <c r="F992" s="5" t="n">
        <v>0.00508637752390057</v>
      </c>
      <c r="G992" s="5" t="n">
        <v>1.3972</v>
      </c>
      <c r="H992" s="2" t="n">
        <f aca="false">D992*F992</f>
        <v>1.8886614948687</v>
      </c>
      <c r="I992" s="2" t="n">
        <f aca="false">IF(G992="","",D992*1000000/Inputs!$B$4^2*Inputs!$B$5/G992)</f>
        <v>1.35050712813819</v>
      </c>
      <c r="J992" s="2" t="n">
        <f aca="false">IF(C992="A",Inputs!$B$7,IF(C992="B",Inputs!$B$8,IF(C992="C",Inputs!$B$9,0)))</f>
        <v>1</v>
      </c>
      <c r="K992" s="2" t="n">
        <f aca="false">IF(AND(E992&lt;&gt;"",G992&lt;&gt;"",J992&gt;0),IF(I992&gt;=Inputs!$B$6,1,0),0)</f>
        <v>0</v>
      </c>
      <c r="L992" s="5" t="n">
        <v>0</v>
      </c>
      <c r="M992" s="5" t="n">
        <v>371.3238</v>
      </c>
      <c r="N992" s="5" t="n">
        <v>1.89</v>
      </c>
      <c r="O992" s="4" t="s">
        <v>64</v>
      </c>
      <c r="P992" s="2" t="n">
        <f aca="false">IF(K992=1,J992/G992^2,0)</f>
        <v>0</v>
      </c>
      <c r="Q992" s="2" t="n">
        <f aca="false">IF(K992=1,((E992-Result!$B$7*D992)/G992)^2,0)</f>
        <v>0</v>
      </c>
    </row>
    <row r="993" customFormat="false" ht="15" hidden="false" customHeight="false" outlineLevel="0" collapsed="false">
      <c r="A993" s="4" t="s">
        <v>38</v>
      </c>
      <c r="B993" s="4" t="s">
        <v>1059</v>
      </c>
      <c r="C993" s="4" t="s">
        <v>63</v>
      </c>
      <c r="D993" s="5" t="n">
        <v>364.096</v>
      </c>
      <c r="E993" s="5" t="n">
        <v>2.74</v>
      </c>
      <c r="F993" s="5" t="n">
        <v>0.00508657039899082</v>
      </c>
      <c r="G993" s="5" t="n">
        <v>1.3972</v>
      </c>
      <c r="H993" s="2" t="n">
        <f aca="false">D993*F993</f>
        <v>1.85199993599096</v>
      </c>
      <c r="I993" s="2" t="n">
        <f aca="false">IF(G993="","",D993*1000000/Inputs!$B$4^2*Inputs!$B$5/G993)</f>
        <v>1.32424168239427</v>
      </c>
      <c r="J993" s="2" t="n">
        <f aca="false">IF(C993="A",Inputs!$B$7,IF(C993="B",Inputs!$B$8,IF(C993="C",Inputs!$B$9,0)))</f>
        <v>1</v>
      </c>
      <c r="K993" s="2" t="n">
        <f aca="false">IF(AND(E993&lt;&gt;"",G993&lt;&gt;"",J993&gt;0),IF(I993&gt;=Inputs!$B$6,1,0),0)</f>
        <v>0</v>
      </c>
      <c r="L993" s="5" t="n">
        <v>0</v>
      </c>
      <c r="M993" s="5" t="n">
        <v>364.1017</v>
      </c>
      <c r="N993" s="5" t="n">
        <v>1.85</v>
      </c>
      <c r="O993" s="4" t="s">
        <v>64</v>
      </c>
      <c r="P993" s="2" t="n">
        <f aca="false">IF(K993=1,J993/G993^2,0)</f>
        <v>0</v>
      </c>
      <c r="Q993" s="2" t="n">
        <f aca="false">IF(K993=1,((E993-Result!$B$7*D993)/G993)^2,0)</f>
        <v>0</v>
      </c>
    </row>
    <row r="994" customFormat="false" ht="15" hidden="false" customHeight="false" outlineLevel="0" collapsed="false">
      <c r="A994" s="4" t="s">
        <v>38</v>
      </c>
      <c r="B994" s="4" t="s">
        <v>1060</v>
      </c>
      <c r="C994" s="4" t="s">
        <v>63</v>
      </c>
      <c r="D994" s="5" t="n">
        <v>372.5186</v>
      </c>
      <c r="E994" s="5" t="n">
        <v>1.18</v>
      </c>
      <c r="F994" s="5" t="n">
        <v>0.00508660326647988</v>
      </c>
      <c r="G994" s="5" t="n">
        <v>1.3972</v>
      </c>
      <c r="H994" s="2" t="n">
        <f aca="false">D994*F994</f>
        <v>1.89485432758451</v>
      </c>
      <c r="I994" s="2" t="n">
        <f aca="false">IF(G994="","",D994*1000000/Inputs!$B$4^2*Inputs!$B$5/G994)</f>
        <v>1.35487524605368</v>
      </c>
      <c r="J994" s="2" t="n">
        <f aca="false">IF(C994="A",Inputs!$B$7,IF(C994="B",Inputs!$B$8,IF(C994="C",Inputs!$B$9,0)))</f>
        <v>1</v>
      </c>
      <c r="K994" s="2" t="n">
        <f aca="false">IF(AND(E994&lt;&gt;"",G994&lt;&gt;"",J994&gt;0),IF(I994&gt;=Inputs!$B$6,1,0),0)</f>
        <v>0</v>
      </c>
      <c r="L994" s="5" t="n">
        <v>1</v>
      </c>
      <c r="M994" s="5" t="n">
        <v>372.5247</v>
      </c>
      <c r="N994" s="5" t="n">
        <v>1.89</v>
      </c>
      <c r="O994" s="4" t="s">
        <v>64</v>
      </c>
      <c r="P994" s="2" t="n">
        <f aca="false">IF(K994=1,J994/G994^2,0)</f>
        <v>0</v>
      </c>
      <c r="Q994" s="2" t="n">
        <f aca="false">IF(K994=1,((E994-Result!$B$7*D994)/G994)^2,0)</f>
        <v>0</v>
      </c>
    </row>
    <row r="995" customFormat="false" ht="15" hidden="false" customHeight="false" outlineLevel="0" collapsed="false">
      <c r="A995" s="4" t="s">
        <v>38</v>
      </c>
      <c r="B995" s="4" t="s">
        <v>1061</v>
      </c>
      <c r="C995" s="4" t="s">
        <v>63</v>
      </c>
      <c r="D995" s="5" t="n">
        <v>372.2826</v>
      </c>
      <c r="E995" s="5" t="n">
        <v>0.72</v>
      </c>
      <c r="F995" s="5" t="n">
        <v>0.00508669442186768</v>
      </c>
      <c r="G995" s="5" t="n">
        <v>1.3972</v>
      </c>
      <c r="H995" s="2" t="n">
        <f aca="false">D995*F995</f>
        <v>1.89368782477839</v>
      </c>
      <c r="I995" s="2" t="n">
        <f aca="false">IF(G995="","",D995*1000000/Inputs!$B$4^2*Inputs!$B$5/G995)</f>
        <v>1.35401689815355</v>
      </c>
      <c r="J995" s="2" t="n">
        <f aca="false">IF(C995="A",Inputs!$B$7,IF(C995="B",Inputs!$B$8,IF(C995="C",Inputs!$B$9,0)))</f>
        <v>1</v>
      </c>
      <c r="K995" s="2" t="n">
        <f aca="false">IF(AND(E995&lt;&gt;"",G995&lt;&gt;"",J995&gt;0),IF(I995&gt;=Inputs!$B$6,1,0),0)</f>
        <v>0</v>
      </c>
      <c r="L995" s="5" t="n">
        <v>0</v>
      </c>
      <c r="M995" s="5" t="n">
        <v>372.2883</v>
      </c>
      <c r="N995" s="5" t="n">
        <v>1.89</v>
      </c>
      <c r="O995" s="4" t="s">
        <v>64</v>
      </c>
      <c r="P995" s="2" t="n">
        <f aca="false">IF(K995=1,J995/G995^2,0)</f>
        <v>0</v>
      </c>
      <c r="Q995" s="2" t="n">
        <f aca="false">IF(K995=1,((E995-Result!$B$7*D995)/G995)^2,0)</f>
        <v>0</v>
      </c>
    </row>
    <row r="996" customFormat="false" ht="15" hidden="false" customHeight="false" outlineLevel="0" collapsed="false">
      <c r="A996" s="4" t="s">
        <v>38</v>
      </c>
      <c r="B996" s="4" t="s">
        <v>1062</v>
      </c>
      <c r="C996" s="4" t="s">
        <v>63</v>
      </c>
      <c r="D996" s="5" t="n">
        <v>363.8593</v>
      </c>
      <c r="E996" s="5" t="n">
        <v>2.28</v>
      </c>
      <c r="F996" s="5" t="n">
        <v>0.00508666365931176</v>
      </c>
      <c r="G996" s="5" t="n">
        <v>1.3972</v>
      </c>
      <c r="H996" s="2" t="n">
        <f aca="false">D996*F996</f>
        <v>1.85082987841261</v>
      </c>
      <c r="I996" s="2" t="n">
        <f aca="false">IF(G996="","",D996*1000000/Inputs!$B$4^2*Inputs!$B$5/G996)</f>
        <v>1.32338078854698</v>
      </c>
      <c r="J996" s="2" t="n">
        <f aca="false">IF(C996="A",Inputs!$B$7,IF(C996="B",Inputs!$B$8,IF(C996="C",Inputs!$B$9,0)))</f>
        <v>1</v>
      </c>
      <c r="K996" s="2" t="n">
        <f aca="false">IF(AND(E996&lt;&gt;"",G996&lt;&gt;"",J996&gt;0),IF(I996&gt;=Inputs!$B$6,1,0),0)</f>
        <v>0</v>
      </c>
      <c r="L996" s="5" t="n">
        <v>1</v>
      </c>
      <c r="M996" s="5" t="n">
        <v>363.8653</v>
      </c>
      <c r="N996" s="5" t="n">
        <v>1.85</v>
      </c>
      <c r="O996" s="4" t="s">
        <v>64</v>
      </c>
      <c r="P996" s="2" t="n">
        <f aca="false">IF(K996=1,J996/G996^2,0)</f>
        <v>0</v>
      </c>
      <c r="Q996" s="2" t="n">
        <f aca="false">IF(K996=1,((E996-Result!$B$7*D996)/G996)^2,0)</f>
        <v>0</v>
      </c>
    </row>
    <row r="997" customFormat="false" ht="15" hidden="false" customHeight="false" outlineLevel="0" collapsed="false">
      <c r="A997" s="4" t="s">
        <v>38</v>
      </c>
      <c r="B997" s="4" t="s">
        <v>1063</v>
      </c>
      <c r="C997" s="4" t="s">
        <v>63</v>
      </c>
      <c r="D997" s="5" t="n">
        <v>275.268</v>
      </c>
      <c r="E997" s="5" t="n">
        <v>0.09</v>
      </c>
      <c r="F997" s="5" t="n">
        <v>0.00508681969275742</v>
      </c>
      <c r="G997" s="5" t="n">
        <v>1.3972</v>
      </c>
      <c r="H997" s="2" t="n">
        <f aca="false">D997*F997</f>
        <v>1.40023868318595</v>
      </c>
      <c r="I997" s="2" t="n">
        <f aca="false">IF(G997="","",D997*1000000/Inputs!$B$4^2*Inputs!$B$5/G997)</f>
        <v>1.00116826174775</v>
      </c>
      <c r="J997" s="2" t="n">
        <f aca="false">IF(C997="A",Inputs!$B$7,IF(C997="B",Inputs!$B$8,IF(C997="C",Inputs!$B$9,0)))</f>
        <v>1</v>
      </c>
      <c r="K997" s="2" t="n">
        <f aca="false">IF(AND(E997&lt;&gt;"",G997&lt;&gt;"",J997&gt;0),IF(I997&gt;=Inputs!$B$6,1,0),0)</f>
        <v>0</v>
      </c>
      <c r="L997" s="5" t="n">
        <v>1</v>
      </c>
      <c r="M997" s="5" t="n">
        <v>275.2722</v>
      </c>
      <c r="N997" s="5" t="n">
        <v>1.4</v>
      </c>
      <c r="O997" s="4" t="s">
        <v>64</v>
      </c>
      <c r="P997" s="2" t="n">
        <f aca="false">IF(K997=1,J997/G997^2,0)</f>
        <v>0</v>
      </c>
      <c r="Q997" s="2" t="n">
        <f aca="false">IF(K997=1,((E997-Result!$B$7*D997)/G997)^2,0)</f>
        <v>0</v>
      </c>
    </row>
    <row r="998" customFormat="false" ht="15" hidden="false" customHeight="false" outlineLevel="0" collapsed="false">
      <c r="A998" s="4" t="s">
        <v>38</v>
      </c>
      <c r="B998" s="4" t="s">
        <v>1064</v>
      </c>
      <c r="C998" s="4" t="s">
        <v>63</v>
      </c>
      <c r="D998" s="5" t="n">
        <v>538.9495</v>
      </c>
      <c r="E998" s="5" t="n">
        <v>1.6</v>
      </c>
      <c r="F998" s="5" t="n">
        <v>0.00508691739398188</v>
      </c>
      <c r="G998" s="5" t="n">
        <v>1.3972</v>
      </c>
      <c r="H998" s="2" t="n">
        <f aca="false">D998*F998</f>
        <v>2.74159158602783</v>
      </c>
      <c r="I998" s="2" t="n">
        <f aca="false">IF(G998="","",D998*1000000/Inputs!$B$4^2*Inputs!$B$5/G998)</f>
        <v>1.96019564237331</v>
      </c>
      <c r="J998" s="2" t="n">
        <f aca="false">IF(C998="A",Inputs!$B$7,IF(C998="B",Inputs!$B$8,IF(C998="C",Inputs!$B$9,0)))</f>
        <v>1</v>
      </c>
      <c r="K998" s="2" t="n">
        <f aca="false">IF(AND(E998&lt;&gt;"",G998&lt;&gt;"",J998&gt;0),IF(I998&gt;=Inputs!$B$6,1,0),0)</f>
        <v>0</v>
      </c>
      <c r="L998" s="5" t="n">
        <v>0</v>
      </c>
      <c r="M998" s="5" t="n">
        <v>538.9599</v>
      </c>
      <c r="N998" s="5" t="n">
        <v>2.74</v>
      </c>
      <c r="O998" s="4" t="s">
        <v>64</v>
      </c>
      <c r="P998" s="2" t="n">
        <f aca="false">IF(K998=1,J998/G998^2,0)</f>
        <v>0</v>
      </c>
      <c r="Q998" s="2" t="n">
        <f aca="false">IF(K998=1,((E998-Result!$B$7*D998)/G998)^2,0)</f>
        <v>0</v>
      </c>
    </row>
    <row r="999" customFormat="false" ht="15" hidden="false" customHeight="false" outlineLevel="0" collapsed="false">
      <c r="A999" s="4" t="s">
        <v>38</v>
      </c>
      <c r="B999" s="4" t="s">
        <v>1065</v>
      </c>
      <c r="C999" s="4" t="s">
        <v>63</v>
      </c>
      <c r="D999" s="5" t="n">
        <v>563.5754</v>
      </c>
      <c r="E999" s="5" t="n">
        <v>2.74</v>
      </c>
      <c r="F999" s="5" t="n">
        <v>0.00508698217736423</v>
      </c>
      <c r="G999" s="5" t="n">
        <v>1.3972</v>
      </c>
      <c r="H999" s="2" t="n">
        <f aca="false">D999*F999</f>
        <v>2.86689801540092</v>
      </c>
      <c r="I999" s="2" t="n">
        <f aca="false">IF(G999="","",D999*1000000/Inputs!$B$4^2*Inputs!$B$5/G999)</f>
        <v>2.04976169980452</v>
      </c>
      <c r="J999" s="2" t="n">
        <f aca="false">IF(C999="A",Inputs!$B$7,IF(C999="B",Inputs!$B$8,IF(C999="C",Inputs!$B$9,0)))</f>
        <v>1</v>
      </c>
      <c r="K999" s="2" t="n">
        <f aca="false">IF(AND(E999&lt;&gt;"",G999&lt;&gt;"",J999&gt;0),IF(I999&gt;=Inputs!$B$6,1,0),0)</f>
        <v>1</v>
      </c>
      <c r="L999" s="5" t="n">
        <v>1</v>
      </c>
      <c r="M999" s="5" t="n">
        <v>563.5858</v>
      </c>
      <c r="N999" s="5" t="n">
        <v>2.87</v>
      </c>
      <c r="O999" s="4" t="s">
        <v>64</v>
      </c>
      <c r="P999" s="2" t="n">
        <f aca="false">IF(K999=1,J999/G999^2,0)</f>
        <v>0.512251036775608</v>
      </c>
      <c r="Q999" s="2" t="n">
        <f aca="false">IF(K999=1,((E999-Result!$B$7*D999)/G999)^2,0)</f>
        <v>0.00598816014924164</v>
      </c>
    </row>
    <row r="1000" customFormat="false" ht="15" hidden="false" customHeight="false" outlineLevel="0" collapsed="false">
      <c r="A1000" s="4" t="s">
        <v>38</v>
      </c>
      <c r="B1000" s="4" t="s">
        <v>1066</v>
      </c>
      <c r="C1000" s="4" t="s">
        <v>63</v>
      </c>
      <c r="D1000" s="5" t="n">
        <v>299.8919</v>
      </c>
      <c r="E1000" s="5" t="n">
        <v>1.23</v>
      </c>
      <c r="F1000" s="5" t="n">
        <v>0.00508694953597218</v>
      </c>
      <c r="G1000" s="5" t="n">
        <v>1.3972</v>
      </c>
      <c r="H1000" s="2" t="n">
        <f aca="false">D1000*F1000</f>
        <v>1.52553496154682</v>
      </c>
      <c r="I1000" s="2" t="n">
        <f aca="false">IF(G1000="","",D1000*1000000/Inputs!$B$4^2*Inputs!$B$5/G1000)</f>
        <v>1.09072704504421</v>
      </c>
      <c r="J1000" s="2" t="n">
        <f aca="false">IF(C1000="A",Inputs!$B$7,IF(C1000="B",Inputs!$B$8,IF(C1000="C",Inputs!$B$9,0)))</f>
        <v>1</v>
      </c>
      <c r="K1000" s="2" t="n">
        <f aca="false">IF(AND(E1000&lt;&gt;"",G1000&lt;&gt;"",J1000&gt;0),IF(I1000&gt;=Inputs!$B$6,1,0),0)</f>
        <v>0</v>
      </c>
      <c r="L1000" s="5" t="n">
        <v>0</v>
      </c>
      <c r="M1000" s="5" t="n">
        <v>299.8981</v>
      </c>
      <c r="N1000" s="5" t="n">
        <v>1.53</v>
      </c>
      <c r="O1000" s="4" t="s">
        <v>64</v>
      </c>
      <c r="P1000" s="2" t="n">
        <f aca="false">IF(K1000=1,J1000/G1000^2,0)</f>
        <v>0</v>
      </c>
      <c r="Q1000" s="2" t="n">
        <f aca="false">IF(K1000=1,((E1000-Result!$B$7*D1000)/G1000)^2,0)</f>
        <v>0</v>
      </c>
    </row>
    <row r="1001" customFormat="false" ht="15" hidden="false" customHeight="false" outlineLevel="0" collapsed="false">
      <c r="A1001" s="4" t="s">
        <v>38</v>
      </c>
      <c r="B1001" s="4" t="s">
        <v>1067</v>
      </c>
      <c r="C1001" s="4" t="s">
        <v>63</v>
      </c>
      <c r="D1001" s="5" t="n">
        <v>150.002</v>
      </c>
      <c r="E1001" s="5" t="n">
        <v>2.07</v>
      </c>
      <c r="F1001" s="5" t="n">
        <v>0.00508710450502881</v>
      </c>
      <c r="G1001" s="5" t="n">
        <v>1.3972</v>
      </c>
      <c r="H1001" s="2" t="n">
        <f aca="false">D1001*F1001</f>
        <v>0.763075849963331</v>
      </c>
      <c r="I1001" s="2" t="n">
        <f aca="false">IF(G1001="","",D1001*1000000/Inputs!$B$4^2*Inputs!$B$5/G1001)</f>
        <v>0.545567380148384</v>
      </c>
      <c r="J1001" s="2" t="n">
        <f aca="false">IF(C1001="A",Inputs!$B$7,IF(C1001="B",Inputs!$B$8,IF(C1001="C",Inputs!$B$9,0)))</f>
        <v>1</v>
      </c>
      <c r="K1001" s="2" t="n">
        <f aca="false">IF(AND(E1001&lt;&gt;"",G1001&lt;&gt;"",J1001&gt;0),IF(I1001&gt;=Inputs!$B$6,1,0),0)</f>
        <v>0</v>
      </c>
      <c r="L1001" s="5" t="n">
        <v>0</v>
      </c>
      <c r="M1001" s="5" t="n">
        <v>150.0044</v>
      </c>
      <c r="N1001" s="5" t="n">
        <v>0.76</v>
      </c>
      <c r="O1001" s="4" t="s">
        <v>64</v>
      </c>
      <c r="P1001" s="2" t="n">
        <f aca="false">IF(K1001=1,J1001/G1001^2,0)</f>
        <v>0</v>
      </c>
      <c r="Q1001" s="2" t="n">
        <f aca="false">IF(K1001=1,((E1001-Result!$B$7*D1001)/G1001)^2,0)</f>
        <v>0</v>
      </c>
    </row>
    <row r="1002" customFormat="false" ht="15" hidden="false" customHeight="false" outlineLevel="0" collapsed="false">
      <c r="A1002" s="4" t="s">
        <v>38</v>
      </c>
      <c r="B1002" s="4" t="s">
        <v>1068</v>
      </c>
      <c r="C1002" s="4" t="s">
        <v>63</v>
      </c>
      <c r="D1002" s="5" t="n">
        <v>325.2732</v>
      </c>
      <c r="E1002" s="5" t="n">
        <v>2.11</v>
      </c>
      <c r="F1002" s="5" t="n">
        <v>0.00508710785787367</v>
      </c>
      <c r="G1002" s="5" t="n">
        <v>1.3972</v>
      </c>
      <c r="H1002" s="2" t="n">
        <f aca="false">D1002*F1002</f>
        <v>1.65469985167571</v>
      </c>
      <c r="I1002" s="2" t="n">
        <f aca="false">IF(G1002="","",D1002*1000000/Inputs!$B$4^2*Inputs!$B$5/G1002)</f>
        <v>1.1830405431693</v>
      </c>
      <c r="J1002" s="2" t="n">
        <f aca="false">IF(C1002="A",Inputs!$B$7,IF(C1002="B",Inputs!$B$8,IF(C1002="C",Inputs!$B$9,0)))</f>
        <v>1</v>
      </c>
      <c r="K1002" s="2" t="n">
        <f aca="false">IF(AND(E1002&lt;&gt;"",G1002&lt;&gt;"",J1002&gt;0),IF(I1002&gt;=Inputs!$B$6,1,0),0)</f>
        <v>0</v>
      </c>
      <c r="L1002" s="5" t="n">
        <v>1</v>
      </c>
      <c r="M1002" s="5" t="n">
        <v>325.2796</v>
      </c>
      <c r="N1002" s="5" t="n">
        <v>1.65</v>
      </c>
      <c r="O1002" s="4" t="s">
        <v>64</v>
      </c>
      <c r="P1002" s="2" t="n">
        <f aca="false">IF(K1002=1,J1002/G1002^2,0)</f>
        <v>0</v>
      </c>
      <c r="Q1002" s="2" t="n">
        <f aca="false">IF(K1002=1,((E1002-Result!$B$7*D1002)/G1002)^2,0)</f>
        <v>0</v>
      </c>
    </row>
    <row r="1003" customFormat="false" ht="15" hidden="false" customHeight="false" outlineLevel="0" collapsed="false">
      <c r="A1003" s="4" t="s">
        <v>38</v>
      </c>
      <c r="B1003" s="4" t="s">
        <v>1069</v>
      </c>
      <c r="C1003" s="4" t="s">
        <v>63</v>
      </c>
      <c r="D1003" s="5" t="n">
        <v>157.3164</v>
      </c>
      <c r="E1003" s="5" t="n">
        <v>1.97</v>
      </c>
      <c r="F1003" s="5" t="n">
        <v>0.00508710073217682</v>
      </c>
      <c r="G1003" s="5" t="n">
        <v>1.3972</v>
      </c>
      <c r="H1003" s="2" t="n">
        <f aca="false">D1003*F1003</f>
        <v>0.800284373623421</v>
      </c>
      <c r="I1003" s="2" t="n">
        <f aca="false">IF(G1003="","",D1003*1000000/Inputs!$B$4^2*Inputs!$B$5/G1003)</f>
        <v>0.572170345744558</v>
      </c>
      <c r="J1003" s="2" t="n">
        <f aca="false">IF(C1003="A",Inputs!$B$7,IF(C1003="B",Inputs!$B$8,IF(C1003="C",Inputs!$B$9,0)))</f>
        <v>1</v>
      </c>
      <c r="K1003" s="2" t="n">
        <f aca="false">IF(AND(E1003&lt;&gt;"",G1003&lt;&gt;"",J1003&gt;0),IF(I1003&gt;=Inputs!$B$6,1,0),0)</f>
        <v>0</v>
      </c>
      <c r="L1003" s="5" t="n">
        <v>0</v>
      </c>
      <c r="M1003" s="5" t="n">
        <v>157.3196</v>
      </c>
      <c r="N1003" s="5" t="n">
        <v>0.8</v>
      </c>
      <c r="O1003" s="4" t="s">
        <v>64</v>
      </c>
      <c r="P1003" s="2" t="n">
        <f aca="false">IF(K1003=1,J1003/G1003^2,0)</f>
        <v>0</v>
      </c>
      <c r="Q1003" s="2" t="n">
        <f aca="false">IF(K1003=1,((E1003-Result!$B$7*D1003)/G1003)^2,0)</f>
        <v>0</v>
      </c>
    </row>
    <row r="1004" customFormat="false" ht="15" hidden="false" customHeight="false" outlineLevel="0" collapsed="false">
      <c r="A1004" s="4" t="s">
        <v>38</v>
      </c>
      <c r="B1004" s="4" t="s">
        <v>1070</v>
      </c>
      <c r="C1004" s="4" t="s">
        <v>63</v>
      </c>
      <c r="D1004" s="5" t="n">
        <v>17.9548</v>
      </c>
      <c r="E1004" s="5" t="n">
        <v>-1.93</v>
      </c>
      <c r="F1004" s="5" t="n">
        <v>0.00508719792361006</v>
      </c>
      <c r="G1004" s="5" t="n">
        <v>1.3972</v>
      </c>
      <c r="H1004" s="2" t="n">
        <f aca="false">D1004*F1004</f>
        <v>0.0913396212788339</v>
      </c>
      <c r="I1004" s="2" t="n">
        <f aca="false">IF(G1004="","",D1004*1000000/Inputs!$B$4^2*Inputs!$B$5/G1004)</f>
        <v>0.0653028172763576</v>
      </c>
      <c r="J1004" s="2" t="n">
        <f aca="false">IF(C1004="A",Inputs!$B$7,IF(C1004="B",Inputs!$B$8,IF(C1004="C",Inputs!$B$9,0)))</f>
        <v>1</v>
      </c>
      <c r="K1004" s="2" t="n">
        <f aca="false">IF(AND(E1004&lt;&gt;"",G1004&lt;&gt;"",J1004&gt;0),IF(I1004&gt;=Inputs!$B$6,1,0),0)</f>
        <v>0</v>
      </c>
      <c r="L1004" s="5" t="n">
        <v>0</v>
      </c>
      <c r="M1004" s="5" t="n">
        <v>17.9556</v>
      </c>
      <c r="N1004" s="5" t="n">
        <v>0.09</v>
      </c>
      <c r="O1004" s="4" t="s">
        <v>64</v>
      </c>
      <c r="P1004" s="2" t="n">
        <f aca="false">IF(K1004=1,J1004/G1004^2,0)</f>
        <v>0</v>
      </c>
      <c r="Q1004" s="2" t="n">
        <f aca="false">IF(K1004=1,((E1004-Result!$B$7*D1004)/G1004)^2,0)</f>
        <v>0</v>
      </c>
    </row>
    <row r="1005" customFormat="false" ht="15" hidden="false" customHeight="false" outlineLevel="0" collapsed="false">
      <c r="A1005" s="4" t="s">
        <v>38</v>
      </c>
      <c r="B1005" s="4" t="s">
        <v>1071</v>
      </c>
      <c r="C1005" s="4" t="s">
        <v>63</v>
      </c>
      <c r="D1005" s="5" t="n">
        <v>472.8784</v>
      </c>
      <c r="E1005" s="5" t="n">
        <v>0.71</v>
      </c>
      <c r="F1005" s="5" t="n">
        <v>0.00508697503490788</v>
      </c>
      <c r="G1005" s="5" t="n">
        <v>1.3972</v>
      </c>
      <c r="H1005" s="2" t="n">
        <f aca="false">D1005*F1005</f>
        <v>2.40552061534718</v>
      </c>
      <c r="I1005" s="2" t="n">
        <f aca="false">IF(G1005="","",D1005*1000000/Inputs!$B$4^2*Inputs!$B$5/G1005)</f>
        <v>1.71989060023706</v>
      </c>
      <c r="J1005" s="2" t="n">
        <f aca="false">IF(C1005="A",Inputs!$B$7,IF(C1005="B",Inputs!$B$8,IF(C1005="C",Inputs!$B$9,0)))</f>
        <v>1</v>
      </c>
      <c r="K1005" s="2" t="n">
        <f aca="false">IF(AND(E1005&lt;&gt;"",G1005&lt;&gt;"",J1005&gt;0),IF(I1005&gt;=Inputs!$B$6,1,0),0)</f>
        <v>0</v>
      </c>
      <c r="L1005" s="5" t="n">
        <v>0</v>
      </c>
      <c r="M1005" s="5" t="n">
        <v>472.8867</v>
      </c>
      <c r="N1005" s="5" t="n">
        <v>2.4</v>
      </c>
      <c r="O1005" s="4" t="s">
        <v>64</v>
      </c>
      <c r="P1005" s="2" t="n">
        <f aca="false">IF(K1005=1,J1005/G1005^2,0)</f>
        <v>0</v>
      </c>
      <c r="Q1005" s="2" t="n">
        <f aca="false">IF(K1005=1,((E1005-Result!$B$7*D1005)/G1005)^2,0)</f>
        <v>0</v>
      </c>
    </row>
    <row r="1006" customFormat="false" ht="15" hidden="false" customHeight="false" outlineLevel="0" collapsed="false">
      <c r="A1006" s="4" t="s">
        <v>38</v>
      </c>
      <c r="B1006" s="4" t="s">
        <v>1072</v>
      </c>
      <c r="C1006" s="4" t="s">
        <v>63</v>
      </c>
      <c r="D1006" s="5" t="n">
        <v>240.699</v>
      </c>
      <c r="E1006" s="5" t="n">
        <v>4.1</v>
      </c>
      <c r="F1006" s="5" t="n">
        <v>0.00508707245575373</v>
      </c>
      <c r="G1006" s="5" t="n">
        <v>1.3972</v>
      </c>
      <c r="H1006" s="2" t="n">
        <f aca="false">D1006*F1006</f>
        <v>1.22445325302747</v>
      </c>
      <c r="I1006" s="2" t="n">
        <f aca="false">IF(G1006="","",D1006*1000000/Inputs!$B$4^2*Inputs!$B$5/G1006)</f>
        <v>0.875438479715842</v>
      </c>
      <c r="J1006" s="2" t="n">
        <f aca="false">IF(C1006="A",Inputs!$B$7,IF(C1006="B",Inputs!$B$8,IF(C1006="C",Inputs!$B$9,0)))</f>
        <v>1</v>
      </c>
      <c r="K1006" s="2" t="n">
        <f aca="false">IF(AND(E1006&lt;&gt;"",G1006&lt;&gt;"",J1006&gt;0),IF(I1006&gt;=Inputs!$B$6,1,0),0)</f>
        <v>0</v>
      </c>
      <c r="L1006" s="5" t="n">
        <v>0</v>
      </c>
      <c r="M1006" s="5" t="n">
        <v>240.7036</v>
      </c>
      <c r="N1006" s="5" t="n">
        <v>1.23</v>
      </c>
      <c r="O1006" s="4" t="s">
        <v>64</v>
      </c>
      <c r="P1006" s="2" t="n">
        <f aca="false">IF(K1006=1,J1006/G1006^2,0)</f>
        <v>0</v>
      </c>
      <c r="Q1006" s="2" t="n">
        <f aca="false">IF(K1006=1,((E1006-Result!$B$7*D1006)/G1006)^2,0)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6" style="0" width="13"/>
    <col collapsed="false" customWidth="true" hidden="false" outlineLevel="0" max="8" min="8" style="0" width="20"/>
  </cols>
  <sheetData>
    <row r="1" customFormat="false" ht="16.15" hidden="false" customHeight="false" outlineLevel="0" collapsed="false">
      <c r="A1" s="1" t="s">
        <v>1073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14" t="s">
        <v>1074</v>
      </c>
      <c r="B3" s="14" t="s">
        <v>33</v>
      </c>
      <c r="C3" s="14" t="s">
        <v>1075</v>
      </c>
      <c r="D3" s="14" t="s">
        <v>1076</v>
      </c>
      <c r="E3" s="14" t="s">
        <v>1077</v>
      </c>
      <c r="F3" s="14" t="s">
        <v>1078</v>
      </c>
      <c r="G3" s="14" t="s">
        <v>1079</v>
      </c>
      <c r="H3" s="14" t="s">
        <v>1080</v>
      </c>
    </row>
    <row r="4" customFormat="false" ht="15" hidden="false" customHeight="false" outlineLevel="0" collapsed="false">
      <c r="A4" s="5" t="s">
        <v>37</v>
      </c>
      <c r="B4" s="2" t="n">
        <f aca="false">SUMPRODUCT((Triangles!$A$2:$A$1006=A4)*Triangles!$L$2:$L$1006)</f>
        <v>241</v>
      </c>
      <c r="C4" s="18" t="n">
        <f aca="false">SUMPRODUCT((Triangles!$A$2:$A$1006=A4)*Triangles!$L$2:$L$1006,Triangles!$D$2:$D$1006)</f>
        <v>322644.4738</v>
      </c>
      <c r="D4" s="19" t="n">
        <f aca="false">SUMPRODUCT((Triangles!$A$2:$A$1006=A4)*Triangles!$L$2:$L$1006,Triangles!$E$2:$E$1006)</f>
        <v>1604.335</v>
      </c>
      <c r="E4" s="19" t="n">
        <f aca="false">SUMPRODUCT((Triangles!$A$2:$A$1006=A4)*Triangles!$L$2:$L$1006,Triangles!$H$2:$H$1006)</f>
        <v>1638.30719691794</v>
      </c>
      <c r="F4" s="20" t="n">
        <f aca="false">INDEX(Triangles!$G$2:$G$1006,MATCH(A4,Triangles!$A$2:$A$1006,0))*SQRT(B4)</f>
        <v>19.5806415443928</v>
      </c>
      <c r="G4" s="16" t="n">
        <f aca="false">D4/E4</f>
        <v>0.97926384198162</v>
      </c>
      <c r="H4" s="21" t="n">
        <f aca="false">(D4-E4)/B4</f>
        <v>-0.14096347268855</v>
      </c>
    </row>
    <row r="5" customFormat="false" ht="15" hidden="false" customHeight="false" outlineLevel="0" collapsed="false">
      <c r="A5" s="5" t="s">
        <v>38</v>
      </c>
      <c r="B5" s="2" t="n">
        <f aca="false">SUMPRODUCT((Triangles!$A$2:$A$1006=A5)*Triangles!$L$2:$L$1006)</f>
        <v>114</v>
      </c>
      <c r="C5" s="18" t="n">
        <f aca="false">SUMPRODUCT((Triangles!$A$2:$A$1006=A5)*Triangles!$L$2:$L$1006,Triangles!$D$2:$D$1006)</f>
        <v>112582.337</v>
      </c>
      <c r="D5" s="19" t="n">
        <f aca="false">SUMPRODUCT((Triangles!$A$2:$A$1006=A5)*Triangles!$L$2:$L$1006,Triangles!$E$2:$E$1006)</f>
        <v>539.525</v>
      </c>
      <c r="E5" s="19" t="n">
        <f aca="false">SUMPRODUCT((Triangles!$A$2:$A$1006=A5)*Triangles!$L$2:$L$1006,Triangles!$H$2:$H$1006)</f>
        <v>571.751780336274</v>
      </c>
      <c r="F5" s="20" t="n">
        <f aca="false">INDEX(Triangles!$G$2:$G$1006,MATCH(A5,Triangles!$A$2:$A$1006,0))*SQRT(B5)</f>
        <v>14.9180137337381</v>
      </c>
      <c r="G5" s="16" t="n">
        <f aca="false">D5/E5</f>
        <v>0.943635015325496</v>
      </c>
      <c r="H5" s="21" t="n">
        <f aca="false">(D5-E5)/B5</f>
        <v>-0.282691055581354</v>
      </c>
    </row>
    <row r="6" customFormat="false" ht="15" hidden="false" customHeight="false" outlineLevel="0" collapsed="false">
      <c r="A6" s="5" t="s">
        <v>39</v>
      </c>
      <c r="B6" s="2" t="n">
        <f aca="false">SUMPRODUCT((Triangles!$A$2:$A$1006=A6)*Triangles!$L$2:$L$1006)</f>
        <v>18</v>
      </c>
      <c r="C6" s="18" t="n">
        <f aca="false">SUMPRODUCT((Triangles!$A$2:$A$1006=A6)*Triangles!$L$2:$L$1006,Triangles!$D$2:$D$1006)</f>
        <v>43539.6016</v>
      </c>
      <c r="D6" s="19" t="n">
        <f aca="false">SUMPRODUCT((Triangles!$A$2:$A$1006=A6)*Triangles!$L$2:$L$1006,Triangles!$E$2:$E$1006)</f>
        <v>230.5</v>
      </c>
      <c r="E6" s="19" t="n">
        <f aca="false">SUMPRODUCT((Triangles!$A$2:$A$1006=A6)*Triangles!$L$2:$L$1006,Triangles!$H$2:$H$1006)</f>
        <v>221.429200247406</v>
      </c>
      <c r="F6" s="20" t="n">
        <f aca="false">INDEX(Triangles!$G$2:$G$1006,MATCH(A6,Triangles!$A$2:$A$1006,0))*SQRT(B6)</f>
        <v>7.64523851818895</v>
      </c>
      <c r="G6" s="16" t="n">
        <f aca="false">D6/E6</f>
        <v>1.04096478577559</v>
      </c>
      <c r="H6" s="21" t="n">
        <f aca="false">(D6-E6)/B6</f>
        <v>0.503933319588561</v>
      </c>
    </row>
    <row r="7" customFormat="false" ht="15" hidden="false" customHeight="false" outlineLevel="0" collapsed="false">
      <c r="A7" s="9" t="s">
        <v>1081</v>
      </c>
      <c r="B7" s="2" t="n">
        <f aca="false">SUM(B4:B6)</f>
        <v>373</v>
      </c>
      <c r="C7" s="18" t="n">
        <f aca="false">SUM(C4:C6)</f>
        <v>478766.4124</v>
      </c>
      <c r="D7" s="19" t="n">
        <f aca="false">SUM(D4:D6)</f>
        <v>2374.36</v>
      </c>
      <c r="E7" s="19" t="n">
        <f aca="false">SUM(E4:E6)</f>
        <v>2431.48817750162</v>
      </c>
      <c r="F7" s="20" t="n">
        <f aca="false">SQRT(SUMPRODUCT(F4:F6,F4:F6))</f>
        <v>25.7759253771809</v>
      </c>
      <c r="G7" s="16" t="n">
        <f aca="false">D7/E7</f>
        <v>0.976504850802803</v>
      </c>
      <c r="H7" s="21" t="n">
        <f aca="false">(D7-E7)/B7</f>
        <v>-0.153158652819358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7" min="6" style="0" width="16"/>
    <col collapsed="false" customWidth="true" hidden="false" outlineLevel="0" max="9" min="8" style="0" width="18"/>
  </cols>
  <sheetData>
    <row r="1" customFormat="false" ht="16.15" hidden="false" customHeight="false" outlineLevel="0" collapsed="false">
      <c r="A1" s="1" t="s">
        <v>1082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9" t="s">
        <v>1083</v>
      </c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14" t="s">
        <v>1084</v>
      </c>
      <c r="B4" s="14" t="s">
        <v>1085</v>
      </c>
      <c r="C4" s="14" t="s">
        <v>1086</v>
      </c>
      <c r="D4" s="14" t="s">
        <v>1087</v>
      </c>
      <c r="E4" s="14" t="s">
        <v>1088</v>
      </c>
      <c r="F4" s="14" t="s">
        <v>1089</v>
      </c>
      <c r="G4" s="2"/>
      <c r="H4" s="2"/>
      <c r="I4" s="2"/>
    </row>
    <row r="5" customFormat="false" ht="15" hidden="false" customHeight="false" outlineLevel="0" collapsed="false">
      <c r="A5" s="5" t="s">
        <v>1090</v>
      </c>
      <c r="B5" s="5" t="n">
        <v>414</v>
      </c>
      <c r="C5" s="5" t="n">
        <v>424</v>
      </c>
      <c r="D5" s="5" t="n">
        <v>9</v>
      </c>
      <c r="E5" s="2" t="n">
        <f aca="false">D5*3</f>
        <v>27</v>
      </c>
      <c r="F5" s="5" t="s">
        <v>1091</v>
      </c>
      <c r="G5" s="2"/>
      <c r="H5" s="2"/>
      <c r="I5" s="2"/>
    </row>
    <row r="6" customFormat="false" ht="15" hidden="false" customHeight="false" outlineLevel="0" collapsed="false">
      <c r="A6" s="5" t="s">
        <v>1090</v>
      </c>
      <c r="B6" s="5" t="n">
        <v>474</v>
      </c>
      <c r="C6" s="5" t="n">
        <v>485</v>
      </c>
      <c r="D6" s="5" t="n">
        <v>9</v>
      </c>
      <c r="E6" s="2" t="n">
        <f aca="false">D6*3</f>
        <v>27</v>
      </c>
      <c r="F6" s="5" t="s">
        <v>1091</v>
      </c>
      <c r="G6" s="2"/>
      <c r="H6" s="2"/>
      <c r="I6" s="2"/>
    </row>
    <row r="7" customFormat="false" ht="15" hidden="false" customHeight="false" outlineLevel="0" collapsed="false">
      <c r="A7" s="5" t="s">
        <v>1090</v>
      </c>
      <c r="B7" s="5" t="n">
        <v>588</v>
      </c>
      <c r="C7" s="5" t="n">
        <v>616</v>
      </c>
      <c r="D7" s="5" t="n">
        <v>9</v>
      </c>
      <c r="E7" s="2" t="n">
        <f aca="false">D7*3</f>
        <v>27</v>
      </c>
      <c r="F7" s="5" t="s">
        <v>1091</v>
      </c>
      <c r="G7" s="2"/>
      <c r="H7" s="2"/>
      <c r="I7" s="2"/>
    </row>
    <row r="8" customFormat="false" ht="15" hidden="false" customHeight="false" outlineLevel="0" collapsed="false">
      <c r="A8" s="5" t="s">
        <v>1090</v>
      </c>
      <c r="B8" s="5" t="n">
        <v>591</v>
      </c>
      <c r="C8" s="5" t="n">
        <v>619</v>
      </c>
      <c r="D8" s="5" t="n">
        <v>9</v>
      </c>
      <c r="E8" s="2" t="n">
        <f aca="false">D8*3</f>
        <v>27</v>
      </c>
      <c r="F8" s="5" t="s">
        <v>1091</v>
      </c>
      <c r="G8" s="2"/>
      <c r="H8" s="2"/>
      <c r="I8" s="2"/>
    </row>
    <row r="9" customFormat="false" ht="15" hidden="false" customHeight="false" outlineLevel="0" collapsed="false">
      <c r="A9" s="5" t="s">
        <v>1092</v>
      </c>
      <c r="B9" s="5" t="n">
        <v>131</v>
      </c>
      <c r="C9" s="5" t="n">
        <v>153</v>
      </c>
      <c r="D9" s="5" t="n">
        <v>12</v>
      </c>
      <c r="E9" s="2" t="n">
        <f aca="false">D9*3</f>
        <v>36</v>
      </c>
      <c r="F9" s="5" t="s">
        <v>1091</v>
      </c>
      <c r="G9" s="2"/>
      <c r="H9" s="2"/>
      <c r="I9" s="2"/>
    </row>
    <row r="10" customFormat="false" ht="15" hidden="false" customHeight="false" outlineLevel="0" collapsed="false">
      <c r="A10" s="9" t="s">
        <v>1093</v>
      </c>
      <c r="B10" s="2"/>
      <c r="C10" s="2"/>
      <c r="D10" s="2" t="n">
        <f aca="false">SUM(D5:D9)</f>
        <v>48</v>
      </c>
      <c r="E10" s="2" t="n">
        <f aca="false">SUM(E5:E9)</f>
        <v>144</v>
      </c>
      <c r="F10" s="2"/>
      <c r="G10" s="2"/>
      <c r="H10" s="2"/>
      <c r="I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</row>
    <row r="12" customFormat="false" ht="15" hidden="false" customHeight="false" outlineLevel="0" collapsed="false">
      <c r="A12" s="9" t="s">
        <v>1094</v>
      </c>
      <c r="B12" s="2"/>
      <c r="C12" s="2"/>
      <c r="D12" s="2"/>
      <c r="E12" s="2"/>
      <c r="F12" s="2"/>
      <c r="G12" s="2"/>
      <c r="H12" s="2"/>
      <c r="I12" s="2"/>
    </row>
    <row r="13" customFormat="false" ht="26.85" hidden="false" customHeight="false" outlineLevel="0" collapsed="false">
      <c r="A13" s="22" t="s">
        <v>45</v>
      </c>
      <c r="B13" s="22" t="s">
        <v>1095</v>
      </c>
      <c r="C13" s="22" t="s">
        <v>1096</v>
      </c>
      <c r="D13" s="22" t="s">
        <v>1097</v>
      </c>
      <c r="E13" s="22" t="s">
        <v>1098</v>
      </c>
      <c r="F13" s="22" t="s">
        <v>1099</v>
      </c>
      <c r="G13" s="22" t="s">
        <v>1100</v>
      </c>
      <c r="H13" s="22" t="s">
        <v>1101</v>
      </c>
      <c r="I13" s="22" t="s">
        <v>1102</v>
      </c>
    </row>
    <row r="14" customFormat="false" ht="15" hidden="false" customHeight="false" outlineLevel="0" collapsed="false">
      <c r="A14" s="5" t="s">
        <v>1103</v>
      </c>
      <c r="B14" s="5" t="s">
        <v>1104</v>
      </c>
      <c r="C14" s="5" t="s">
        <v>1105</v>
      </c>
      <c r="D14" s="5" t="s">
        <v>1106</v>
      </c>
      <c r="E14" s="5" t="n">
        <v>237769.08</v>
      </c>
      <c r="F14" s="5" t="n">
        <v>99493.31</v>
      </c>
      <c r="G14" s="5" t="n">
        <v>184375.27</v>
      </c>
      <c r="H14" s="16" t="n">
        <f aca="false">DEGREES(ACOS((F14^2+G14^2-E14^2)/(2*F14*G14)))</f>
        <v>110.154416872724</v>
      </c>
      <c r="I14" s="5" t="s">
        <v>1107</v>
      </c>
    </row>
    <row r="15" customFormat="false" ht="15" hidden="false" customHeight="false" outlineLevel="0" collapsed="false">
      <c r="A15" s="5" t="s">
        <v>1108</v>
      </c>
      <c r="B15" s="5" t="s">
        <v>1109</v>
      </c>
      <c r="C15" s="5" t="s">
        <v>1110</v>
      </c>
      <c r="D15" s="5" t="s">
        <v>1111</v>
      </c>
      <c r="E15" s="5" t="n">
        <v>11997.12</v>
      </c>
      <c r="F15" s="5" t="n">
        <v>24389.25</v>
      </c>
      <c r="G15" s="5" t="n">
        <v>18130.38</v>
      </c>
      <c r="H15" s="16" t="n">
        <f aca="false">DEGREES(ACOS((F15^2+G15^2-E15^2)/(2*F15*G15)))</f>
        <v>28.1705700721904</v>
      </c>
      <c r="I15" s="5" t="s">
        <v>1112</v>
      </c>
    </row>
    <row r="16" customFormat="false" ht="15" hidden="false" customHeight="false" outlineLevel="0" collapsed="false">
      <c r="A16" s="5" t="s">
        <v>1113</v>
      </c>
      <c r="B16" s="5" t="s">
        <v>1114</v>
      </c>
      <c r="C16" s="5" t="s">
        <v>1115</v>
      </c>
      <c r="D16" s="5" t="s">
        <v>1116</v>
      </c>
      <c r="E16" s="5" t="n">
        <v>88811.79</v>
      </c>
      <c r="F16" s="5" t="n">
        <v>50110.16</v>
      </c>
      <c r="G16" s="5" t="n">
        <v>71681.66</v>
      </c>
      <c r="H16" s="16" t="n">
        <f aca="false">DEGREES(ACOS((F16^2+G16^2-E16^2)/(2*F16*G16)))</f>
        <v>91.9004795000622</v>
      </c>
      <c r="I16" s="5" t="s">
        <v>1117</v>
      </c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</row>
    <row r="18" customFormat="false" ht="15" hidden="false" customHeight="false" outlineLevel="0" collapsed="false">
      <c r="A18" s="6" t="s">
        <v>1118</v>
      </c>
      <c r="B18" s="2"/>
      <c r="C18" s="2"/>
      <c r="D18" s="2"/>
      <c r="E18" s="2"/>
      <c r="F18" s="2"/>
      <c r="G18" s="2"/>
      <c r="H18" s="2"/>
      <c r="I1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2026-10-23T20:32:26Z</dcterms:created>
  <dc:creator>openpyxl</dc:creator>
  <dc:description/>
  <dc:language>en-US</dc:language>
  <cp:lastModifiedBy/>
  <dcterms:modified xsi:type="dcterms:W3CDTF">2026-10-23T20:32:26Z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